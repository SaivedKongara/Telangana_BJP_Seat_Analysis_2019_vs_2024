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8_{55697BB4-3FAC-463B-8285-D26A7ED4BE48}" xr6:coauthVersionLast="47" xr6:coauthVersionMax="47" xr10:uidLastSave="{00000000-0000-0000-0000-000000000000}"/>
  <bookViews>
    <workbookView xWindow="-110" yWindow="-110" windowWidth="19420" windowHeight="10300" firstSheet="2" activeTab="4" xr2:uid="{18D87D8B-72FA-41EA-88BE-0C653E1B5B3D}"/>
  </bookViews>
  <sheets>
    <sheet name="Telangana Results 2024" sheetId="3" r:id="rId1"/>
    <sheet name="Telangana Results 2019" sheetId="2" r:id="rId2"/>
    <sheet name="BJP Seat Grading" sheetId="4" r:id="rId3"/>
    <sheet name="Voter TurnOut Analysis " sheetId="5" r:id="rId4"/>
    <sheet name="SeatAnalysis&amp;CandidateRating" sheetId="6" r:id="rId5"/>
    <sheet name="Decision" sheetId="8" r:id="rId6"/>
  </sheets>
  <definedNames>
    <definedName name="_xlnm._FilterDatabase" localSheetId="2" hidden="1">'BJP Seat Grading'!#REF!</definedName>
    <definedName name="_xlnm._FilterDatabase" localSheetId="0" hidden="1">'Telangana Results 2024'!$C$2:$C$544</definedName>
    <definedName name="_xlnm.Criteria" localSheetId="0">'Telangana Results 2024'!$Y$73:$Y$104</definedName>
    <definedName name="ExternalData_1" localSheetId="1" hidden="1">'Telangana Results 2019'!$A$1:$U$461</definedName>
    <definedName name="ExternalData_2" localSheetId="0" hidden="1">'Telangana Results 2024'!$A$1:$V$544</definedName>
    <definedName name="_xlnm.Extract" localSheetId="0">'Telangana Results 2024'!$X$3:$X$63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C6" i="8" s="1"/>
  <c r="G6" i="8" s="1"/>
  <c r="I7" i="4"/>
  <c r="I8" i="4"/>
  <c r="I9" i="4"/>
  <c r="I10" i="4"/>
  <c r="C10" i="8" s="1"/>
  <c r="G10" i="8" s="1"/>
  <c r="I11" i="4"/>
  <c r="I12" i="4"/>
  <c r="I13" i="4"/>
  <c r="I14" i="4"/>
  <c r="C14" i="8" s="1"/>
  <c r="G14" i="8" s="1"/>
  <c r="I15" i="4"/>
  <c r="I16" i="4"/>
  <c r="I17" i="4"/>
  <c r="I18" i="4"/>
  <c r="C18" i="8" s="1"/>
  <c r="G18" i="8" s="1"/>
  <c r="I2" i="4"/>
  <c r="C2" i="8" s="1"/>
  <c r="G2" i="8" s="1"/>
  <c r="D18" i="8"/>
  <c r="E18" i="8"/>
  <c r="F18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2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C3" i="8"/>
  <c r="G3" i="8" s="1"/>
  <c r="C4" i="8"/>
  <c r="G4" i="8" s="1"/>
  <c r="C5" i="8"/>
  <c r="G5" i="8" s="1"/>
  <c r="C7" i="8"/>
  <c r="G7" i="8" s="1"/>
  <c r="C8" i="8"/>
  <c r="G8" i="8" s="1"/>
  <c r="C9" i="8"/>
  <c r="G9" i="8" s="1"/>
  <c r="C11" i="8"/>
  <c r="G11" i="8" s="1"/>
  <c r="C12" i="8"/>
  <c r="G12" i="8" s="1"/>
  <c r="C13" i="8"/>
  <c r="G13" i="8" s="1"/>
  <c r="C15" i="8"/>
  <c r="G15" i="8" s="1"/>
  <c r="C16" i="8"/>
  <c r="G16" i="8" s="1"/>
  <c r="C17" i="8"/>
  <c r="G17" i="8" s="1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H6" i="4"/>
  <c r="H10" i="4"/>
  <c r="H14" i="4"/>
  <c r="E1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2" i="6"/>
  <c r="F8" i="6"/>
  <c r="F9" i="6"/>
  <c r="F11" i="6"/>
  <c r="F3" i="6"/>
  <c r="F4" i="6"/>
  <c r="F5" i="6"/>
  <c r="F6" i="6"/>
  <c r="F7" i="6"/>
  <c r="F10" i="6"/>
  <c r="F12" i="6"/>
  <c r="F13" i="6"/>
  <c r="F14" i="6"/>
  <c r="F15" i="6"/>
  <c r="F16" i="6"/>
  <c r="F17" i="6"/>
  <c r="F18" i="6"/>
  <c r="F2" i="6"/>
  <c r="C3" i="6"/>
  <c r="I3" i="6" s="1"/>
  <c r="C4" i="6"/>
  <c r="I4" i="6" s="1"/>
  <c r="C5" i="6"/>
  <c r="I5" i="6" s="1"/>
  <c r="C6" i="6"/>
  <c r="I6" i="6" s="1"/>
  <c r="C7" i="6"/>
  <c r="I7" i="6" s="1"/>
  <c r="C8" i="6"/>
  <c r="I8" i="6" s="1"/>
  <c r="C9" i="6"/>
  <c r="I9" i="6" s="1"/>
  <c r="C10" i="6"/>
  <c r="I10" i="6" s="1"/>
  <c r="C11" i="6"/>
  <c r="I11" i="6" s="1"/>
  <c r="C12" i="6"/>
  <c r="I12" i="6" s="1"/>
  <c r="C13" i="6"/>
  <c r="I13" i="6" s="1"/>
  <c r="C14" i="6"/>
  <c r="I14" i="6" s="1"/>
  <c r="C15" i="6"/>
  <c r="I15" i="6" s="1"/>
  <c r="C16" i="6"/>
  <c r="I16" i="6" s="1"/>
  <c r="C17" i="6"/>
  <c r="I17" i="6" s="1"/>
  <c r="C18" i="6"/>
  <c r="I18" i="6" s="1"/>
  <c r="C2" i="6"/>
  <c r="I2" i="6" s="1"/>
  <c r="E12" i="5"/>
  <c r="F2" i="4"/>
  <c r="H2" i="4" s="1"/>
  <c r="F3" i="4"/>
  <c r="H3" i="4" s="1"/>
  <c r="F4" i="4"/>
  <c r="H4" i="4" s="1"/>
  <c r="F5" i="4"/>
  <c r="H5" i="4" s="1"/>
  <c r="F6" i="4"/>
  <c r="F7" i="4"/>
  <c r="H7" i="4" s="1"/>
  <c r="F8" i="4"/>
  <c r="H8" i="4" s="1"/>
  <c r="F9" i="4"/>
  <c r="H9" i="4" s="1"/>
  <c r="F10" i="4"/>
  <c r="F11" i="4"/>
  <c r="H11" i="4" s="1"/>
  <c r="F12" i="4"/>
  <c r="H12" i="4" s="1"/>
  <c r="F13" i="4"/>
  <c r="H13" i="4" s="1"/>
  <c r="F14" i="4"/>
  <c r="F15" i="4"/>
  <c r="H15" i="4" s="1"/>
  <c r="F16" i="4"/>
  <c r="H16" i="4" s="1"/>
  <c r="F17" i="4"/>
  <c r="H17" i="4" s="1"/>
  <c r="F18" i="4"/>
  <c r="E3" i="5"/>
  <c r="E4" i="5"/>
  <c r="E5" i="5"/>
  <c r="G5" i="5" s="1"/>
  <c r="E6" i="5"/>
  <c r="E7" i="5"/>
  <c r="E8" i="5"/>
  <c r="E9" i="5"/>
  <c r="E10" i="5"/>
  <c r="E11" i="5"/>
  <c r="E13" i="5"/>
  <c r="E14" i="5"/>
  <c r="E15" i="5"/>
  <c r="E16" i="5"/>
  <c r="E17" i="5"/>
  <c r="E18" i="5"/>
  <c r="E2" i="5"/>
  <c r="C3" i="5"/>
  <c r="G3" i="5" s="1"/>
  <c r="C4" i="5"/>
  <c r="G4" i="5" s="1"/>
  <c r="C5" i="5"/>
  <c r="C6" i="5"/>
  <c r="G6" i="5" s="1"/>
  <c r="C7" i="5"/>
  <c r="G7" i="5" s="1"/>
  <c r="C8" i="5"/>
  <c r="G8" i="5" s="1"/>
  <c r="C9" i="5"/>
  <c r="C10" i="5"/>
  <c r="G10" i="5" s="1"/>
  <c r="C11" i="5"/>
  <c r="G11" i="5" s="1"/>
  <c r="C12" i="5"/>
  <c r="G12" i="5" s="1"/>
  <c r="C13" i="5"/>
  <c r="C14" i="5"/>
  <c r="G14" i="5" s="1"/>
  <c r="C15" i="5"/>
  <c r="C16" i="5"/>
  <c r="C17" i="5"/>
  <c r="C18" i="5"/>
  <c r="G18" i="5" s="1"/>
  <c r="C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E2" i="4"/>
  <c r="G2" i="4" s="1"/>
  <c r="E3" i="4"/>
  <c r="E4" i="4"/>
  <c r="E5" i="4"/>
  <c r="E6" i="4"/>
  <c r="G6" i="4" s="1"/>
  <c r="E7" i="4"/>
  <c r="E8" i="4"/>
  <c r="E9" i="4"/>
  <c r="E10" i="4"/>
  <c r="E11" i="4"/>
  <c r="E12" i="4"/>
  <c r="E13" i="4"/>
  <c r="E14" i="4"/>
  <c r="G14" i="4" s="1"/>
  <c r="E15" i="4"/>
  <c r="E16" i="4"/>
  <c r="E17" i="4"/>
  <c r="E18" i="4"/>
  <c r="D15" i="4"/>
  <c r="D16" i="4"/>
  <c r="D17" i="4"/>
  <c r="D18" i="4"/>
  <c r="H18" i="4" s="1"/>
  <c r="D14" i="4"/>
  <c r="D3" i="4"/>
  <c r="D4" i="4"/>
  <c r="D5" i="4"/>
  <c r="D6" i="4"/>
  <c r="D7" i="4"/>
  <c r="D8" i="4"/>
  <c r="D9" i="4"/>
  <c r="D10" i="4"/>
  <c r="D11" i="4"/>
  <c r="D12" i="4"/>
  <c r="D13" i="4"/>
  <c r="D2" i="4"/>
  <c r="C2" i="4"/>
  <c r="C9" i="4"/>
  <c r="G9" i="4" s="1"/>
  <c r="C15" i="4"/>
  <c r="G15" i="4" s="1"/>
  <c r="C16" i="4"/>
  <c r="G16" i="4" s="1"/>
  <c r="C17" i="4"/>
  <c r="G17" i="4" s="1"/>
  <c r="C18" i="4"/>
  <c r="C14" i="4"/>
  <c r="C3" i="4"/>
  <c r="G3" i="4" s="1"/>
  <c r="C4" i="4"/>
  <c r="G4" i="4" s="1"/>
  <c r="C5" i="4"/>
  <c r="G5" i="4" s="1"/>
  <c r="C6" i="4"/>
  <c r="C7" i="4"/>
  <c r="G7" i="4" s="1"/>
  <c r="C8" i="4"/>
  <c r="G8" i="4" s="1"/>
  <c r="C10" i="4"/>
  <c r="C11" i="4"/>
  <c r="G11" i="4" s="1"/>
  <c r="C12" i="4"/>
  <c r="G12" i="4" s="1"/>
  <c r="C13" i="4"/>
  <c r="G13" i="4" s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2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G10" i="4" l="1"/>
  <c r="G18" i="4"/>
  <c r="G9" i="5"/>
  <c r="G16" i="5"/>
  <c r="G17" i="5"/>
  <c r="G13" i="5"/>
  <c r="G2" i="5"/>
  <c r="G15" i="5"/>
  <c r="I18" i="5"/>
  <c r="J18" i="5" s="1"/>
  <c r="H12" i="5"/>
  <c r="I12" i="5" s="1"/>
  <c r="J12" i="5" s="1"/>
  <c r="H8" i="5"/>
  <c r="I8" i="5" s="1"/>
  <c r="J8" i="5" s="1"/>
  <c r="H18" i="5"/>
  <c r="H14" i="5"/>
  <c r="I14" i="5" s="1"/>
  <c r="J14" i="5" s="1"/>
  <c r="H10" i="5"/>
  <c r="I10" i="5" s="1"/>
  <c r="J10" i="5" s="1"/>
  <c r="H6" i="5"/>
  <c r="I6" i="5" s="1"/>
  <c r="J6" i="5" s="1"/>
  <c r="H16" i="5"/>
  <c r="H4" i="5"/>
  <c r="I4" i="5" s="1"/>
  <c r="J4" i="5" s="1"/>
  <c r="H15" i="5"/>
  <c r="I15" i="5" s="1"/>
  <c r="J15" i="5" s="1"/>
  <c r="H11" i="5"/>
  <c r="I11" i="5" s="1"/>
  <c r="J11" i="5" s="1"/>
  <c r="H7" i="5"/>
  <c r="I7" i="5" s="1"/>
  <c r="J7" i="5" s="1"/>
  <c r="H3" i="5"/>
  <c r="I3" i="5" s="1"/>
  <c r="J3" i="5" s="1"/>
  <c r="H17" i="5"/>
  <c r="I17" i="5" s="1"/>
  <c r="J17" i="5" s="1"/>
  <c r="H13" i="5"/>
  <c r="I13" i="5" s="1"/>
  <c r="J13" i="5" s="1"/>
  <c r="H9" i="5"/>
  <c r="I9" i="5" s="1"/>
  <c r="J9" i="5" s="1"/>
  <c r="H5" i="5"/>
  <c r="I5" i="5" s="1"/>
  <c r="J5" i="5" s="1"/>
  <c r="H2" i="5"/>
  <c r="I2" i="5" s="1"/>
  <c r="J2" i="5" s="1"/>
  <c r="I16" i="5" l="1"/>
  <c r="J1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386B6-A12F-4610-B9E6-2FC6539E291A}" keepAlive="1" name="Query - Telengana Reaults 2019" description="Connection to the 'Telengana Reaults 2019' query in the workbook." type="5" refreshedVersion="8" background="1" saveData="1">
    <dbPr connection="Provider=Microsoft.Mashup.OleDb.1;Data Source=$Workbook$;Location=&quot;Telengana Reaults 2019&quot;;Extended Properties=&quot;&quot;" command="SELECT * FROM [Telengana Reaults 2019]"/>
  </connection>
  <connection id="2" xr16:uid="{869A482D-DBA2-4D59-9DDD-141556D7A981}" keepAlive="1" name="Query - Telengana Results 2024" description="Connection to the 'Telengana Results 2024' query in the workbook." type="5" refreshedVersion="8" background="1" saveData="1">
    <dbPr connection="Provider=Microsoft.Mashup.OleDb.1;Data Source=$Workbook$;Location=&quot;Telengana Results 2024&quot;;Extended Properties=&quot;&quot;" command="SELECT * FROM [Telengana Results 2024]"/>
  </connection>
</connections>
</file>

<file path=xl/sharedStrings.xml><?xml version="1.0" encoding="utf-8"?>
<sst xmlns="http://schemas.openxmlformats.org/spreadsheetml/2006/main" count="9660" uniqueCount="1452">
  <si>
    <t>Year</t>
  </si>
  <si>
    <t xml:space="preserve"> State Name </t>
  </si>
  <si>
    <t xml:space="preserve"> CANDIDATES NAME </t>
  </si>
  <si>
    <t xml:space="preserve"> SEX </t>
  </si>
  <si>
    <t xml:space="preserve"> AGE </t>
  </si>
  <si>
    <t xml:space="preserve"> CATEGORY </t>
  </si>
  <si>
    <t xml:space="preserve"> PARTY NAME </t>
  </si>
  <si>
    <t xml:space="preserve"> PARTY SYMBOL </t>
  </si>
  <si>
    <t xml:space="preserve"> Votes Polled Per Party</t>
  </si>
  <si>
    <t xml:space="preserve"> Party Vote Share</t>
  </si>
  <si>
    <t>Max Votes Share other than BJP</t>
  </si>
  <si>
    <t>Max Votes Other than BJP</t>
  </si>
  <si>
    <t>BJP Votes</t>
  </si>
  <si>
    <t>BJP Vote Share</t>
  </si>
  <si>
    <t>Total Votes Polled</t>
  </si>
  <si>
    <t>Total Electors</t>
  </si>
  <si>
    <t>Voter Turnout</t>
  </si>
  <si>
    <t>BJP_STATUS</t>
  </si>
  <si>
    <t>2019</t>
  </si>
  <si>
    <t>Telangana</t>
  </si>
  <si>
    <t>Godam Nagesh</t>
  </si>
  <si>
    <t>MALE</t>
  </si>
  <si>
    <t>54</t>
  </si>
  <si>
    <t>ST</t>
  </si>
  <si>
    <t>TRS</t>
  </si>
  <si>
    <t>Car</t>
  </si>
  <si>
    <t>BJP WON</t>
  </si>
  <si>
    <t>RATHOD RAMESH</t>
  </si>
  <si>
    <t>52</t>
  </si>
  <si>
    <t>INC</t>
  </si>
  <si>
    <t>Hand</t>
  </si>
  <si>
    <t>SOYAM BAPU RAO</t>
  </si>
  <si>
    <t>BJP</t>
  </si>
  <si>
    <t>Lotus</t>
  </si>
  <si>
    <t>KUMRAM VANDANA</t>
  </si>
  <si>
    <t>FEMALE</t>
  </si>
  <si>
    <t>35</t>
  </si>
  <si>
    <t>NPRP</t>
  </si>
  <si>
    <t>Tractor Chalata Kisan</t>
  </si>
  <si>
    <t>Dharavath Narendhar Naik</t>
  </si>
  <si>
    <t>27</t>
  </si>
  <si>
    <t>JnP</t>
  </si>
  <si>
    <t>Glass Tumbler</t>
  </si>
  <si>
    <t>Pawar Krishna</t>
  </si>
  <si>
    <t>38</t>
  </si>
  <si>
    <t>RaJPa</t>
  </si>
  <si>
    <t>Helmet</t>
  </si>
  <si>
    <t>Bheemrao</t>
  </si>
  <si>
    <t>33</t>
  </si>
  <si>
    <t>APoI</t>
  </si>
  <si>
    <t>Coat</t>
  </si>
  <si>
    <t>Aare Ellanna</t>
  </si>
  <si>
    <t>53</t>
  </si>
  <si>
    <t>IND</t>
  </si>
  <si>
    <t>Bat</t>
  </si>
  <si>
    <t>Kumra Raju</t>
  </si>
  <si>
    <t>29</t>
  </si>
  <si>
    <t>Ring</t>
  </si>
  <si>
    <t>Ganta Pentanna</t>
  </si>
  <si>
    <t>47</t>
  </si>
  <si>
    <t>Pot</t>
  </si>
  <si>
    <t>Nethavath Ramdas</t>
  </si>
  <si>
    <t>46</t>
  </si>
  <si>
    <t>Gas Cylinder</t>
  </si>
  <si>
    <t>NOTA</t>
  </si>
  <si>
    <t>Agam Chandrasekhar</t>
  </si>
  <si>
    <t>60</t>
  </si>
  <si>
    <t>SC</t>
  </si>
  <si>
    <t>BJP LOST</t>
  </si>
  <si>
    <t>S.Kumar</t>
  </si>
  <si>
    <t>Bala Kalyan Panja</t>
  </si>
  <si>
    <t>36</t>
  </si>
  <si>
    <t>BSP</t>
  </si>
  <si>
    <t>Elephant</t>
  </si>
  <si>
    <t>Venkatesh Netha Borlakunta</t>
  </si>
  <si>
    <t>42</t>
  </si>
  <si>
    <t>Erugurala Bhagyalaxmi</t>
  </si>
  <si>
    <t>PPOI</t>
  </si>
  <si>
    <t>FLUTE</t>
  </si>
  <si>
    <t>S. Krishna</t>
  </si>
  <si>
    <t>34</t>
  </si>
  <si>
    <t>SDC</t>
  </si>
  <si>
    <t>Well</t>
  </si>
  <si>
    <t>Thadem Raju</t>
  </si>
  <si>
    <t>IPBP</t>
  </si>
  <si>
    <t>Trumpet</t>
  </si>
  <si>
    <t>Velthuru Mallaiah</t>
  </si>
  <si>
    <t>63</t>
  </si>
  <si>
    <t>RPI(KH)</t>
  </si>
  <si>
    <t>Helicopter</t>
  </si>
  <si>
    <t>Sabbani Krishna</t>
  </si>
  <si>
    <t>56</t>
  </si>
  <si>
    <t>MCPI</t>
  </si>
  <si>
    <t>COMPUTER</t>
  </si>
  <si>
    <t>Sankenapalli Devadas</t>
  </si>
  <si>
    <t>40</t>
  </si>
  <si>
    <t>ACDP</t>
  </si>
  <si>
    <t>Jackfruit</t>
  </si>
  <si>
    <t>Arsham Ashok</t>
  </si>
  <si>
    <t>31</t>
  </si>
  <si>
    <t>Ambala Mahendar</t>
  </si>
  <si>
    <t>Kuntala Narsaiah</t>
  </si>
  <si>
    <t>Road Roller</t>
  </si>
  <si>
    <t>Gaddala Vinay Kumar</t>
  </si>
  <si>
    <t>62</t>
  </si>
  <si>
    <t>Godisella Nagamani</t>
  </si>
  <si>
    <t>28</t>
  </si>
  <si>
    <t>Frock</t>
  </si>
  <si>
    <t>Durgam. Rajanna</t>
  </si>
  <si>
    <t>Rajesh Erikilla</t>
  </si>
  <si>
    <t>SHIP</t>
  </si>
  <si>
    <t>Ponnam Prabhaker</t>
  </si>
  <si>
    <t>GENERAL</t>
  </si>
  <si>
    <t>BANDI SANJAY KUMAR</t>
  </si>
  <si>
    <t>BOIANAPALLI VINOD KUMAR</t>
  </si>
  <si>
    <t>59</t>
  </si>
  <si>
    <t>VENKANNA ANAGANDULA</t>
  </si>
  <si>
    <t>43</t>
  </si>
  <si>
    <t>ANILKUMAR CHINTHA</t>
  </si>
  <si>
    <t>AILA PRASANNA</t>
  </si>
  <si>
    <t>45</t>
  </si>
  <si>
    <t>PALLE PRASHANTH</t>
  </si>
  <si>
    <t>JASWP</t>
  </si>
  <si>
    <t>Walking Stick</t>
  </si>
  <si>
    <t>REDDY VENUGOPAL</t>
  </si>
  <si>
    <t>32</t>
  </si>
  <si>
    <t>SMFB</t>
  </si>
  <si>
    <t>Crane</t>
  </si>
  <si>
    <t>KOTA SHYAMKUMAR</t>
  </si>
  <si>
    <t>Batsman</t>
  </si>
  <si>
    <t>GANGARAPU THIRUPATHI</t>
  </si>
  <si>
    <t>CHILIVERU SRIKANTH</t>
  </si>
  <si>
    <t>DURVASA REDDY PAKALA</t>
  </si>
  <si>
    <t>Matchbox</t>
  </si>
  <si>
    <t>PABBA BHANU LAXMAN</t>
  </si>
  <si>
    <t>25</t>
  </si>
  <si>
    <t>DIAMOND</t>
  </si>
  <si>
    <t>MUKKISA RATHNAKAR REDDY</t>
  </si>
  <si>
    <t>RAMESHBABU SHANIGARAPU</t>
  </si>
  <si>
    <t>Television</t>
  </si>
  <si>
    <t>Nizamabad</t>
  </si>
  <si>
    <t>ARVIND DHARMAPURI</t>
  </si>
  <si>
    <t>KALVAKUNTLA KAVITHA</t>
  </si>
  <si>
    <t>41</t>
  </si>
  <si>
    <t>MADHU GOUD YASKHI</t>
  </si>
  <si>
    <t>61</t>
  </si>
  <si>
    <t>ANJAIAH KONDANI</t>
  </si>
  <si>
    <t>BATHNATHE SHANKAR</t>
  </si>
  <si>
    <t>ROTTE CHAKRADHAR SHARMA</t>
  </si>
  <si>
    <t>S. SAGAR</t>
  </si>
  <si>
    <t>BMUP</t>
  </si>
  <si>
    <t>Cot</t>
  </si>
  <si>
    <t>ANJAIAH</t>
  </si>
  <si>
    <t>Baby Walker</t>
  </si>
  <si>
    <t>AYILENI VIKRAM REDDY</t>
  </si>
  <si>
    <t>39</t>
  </si>
  <si>
    <t>Violin</t>
  </si>
  <si>
    <t>ALLOORI ANIL KUMAR</t>
  </si>
  <si>
    <t>Laptop</t>
  </si>
  <si>
    <t>ALLURI LIMBA REDDY</t>
  </si>
  <si>
    <t>51</t>
  </si>
  <si>
    <t>Bangles</t>
  </si>
  <si>
    <t>AKULA HANMANDLU</t>
  </si>
  <si>
    <t>Basket containing Fruits</t>
  </si>
  <si>
    <t>ARE SAYANNA</t>
  </si>
  <si>
    <t>37</t>
  </si>
  <si>
    <t>ARMOOR SAGAR</t>
  </si>
  <si>
    <t>Battery Torch</t>
  </si>
  <si>
    <t>ASLI GANESH</t>
  </si>
  <si>
    <t>Bead Necklace</t>
  </si>
  <si>
    <t>IPPA LACHANNA</t>
  </si>
  <si>
    <t>Bicycle Pump</t>
  </si>
  <si>
    <t>URUMALLA LAXMA REDDY</t>
  </si>
  <si>
    <t>57</t>
  </si>
  <si>
    <t>Binoculars</t>
  </si>
  <si>
    <t>ADAMALA RAVINDHAR REDDY</t>
  </si>
  <si>
    <t>50</t>
  </si>
  <si>
    <t>BISCUIT</t>
  </si>
  <si>
    <t>ELETI MOHAN REDDY</t>
  </si>
  <si>
    <t>Black Board</t>
  </si>
  <si>
    <t>ELETI MALLA REDDY</t>
  </si>
  <si>
    <t>Boat with Man and Sail</t>
  </si>
  <si>
    <t>ALETI RAJAREDDY</t>
  </si>
  <si>
    <t>44</t>
  </si>
  <si>
    <t>Camera</t>
  </si>
  <si>
    <t>ANUGU THIRUMAL</t>
  </si>
  <si>
    <t>Bread</t>
  </si>
  <si>
    <t>ENUGU MALLESH</t>
  </si>
  <si>
    <t>Bread Toaster</t>
  </si>
  <si>
    <t>ENUGU RAJESHWER</t>
  </si>
  <si>
    <t>Bricks</t>
  </si>
  <si>
    <t>ENUGU SHANKER</t>
  </si>
  <si>
    <t>Brief Case</t>
  </si>
  <si>
    <t>ELETI LAXMA REDDY</t>
  </si>
  <si>
    <t>Apple</t>
  </si>
  <si>
    <t>ELETI SANJEEV REDDY</t>
  </si>
  <si>
    <t>Brush</t>
  </si>
  <si>
    <t>N. OMKAR REDDY</t>
  </si>
  <si>
    <t>Cake</t>
  </si>
  <si>
    <t>KANDUKALA SHIVA KUMAR GOUD</t>
  </si>
  <si>
    <t>48</t>
  </si>
  <si>
    <t>CALCULATOR</t>
  </si>
  <si>
    <t>KANAKA PRAMOD</t>
  </si>
  <si>
    <t>Carrom Board</t>
  </si>
  <si>
    <t>KATIPELLY KUMAR</t>
  </si>
  <si>
    <t>30</t>
  </si>
  <si>
    <t>Cauliflower</t>
  </si>
  <si>
    <t>KATIPELLY RAMESH</t>
  </si>
  <si>
    <t>CCTV Camera</t>
  </si>
  <si>
    <t>KAMAREDDY SANTOSH</t>
  </si>
  <si>
    <t>CHAIN</t>
  </si>
  <si>
    <t>A. KARTHIK</t>
  </si>
  <si>
    <t>Tray</t>
  </si>
  <si>
    <t>KUNTA NARAYANA REDDY</t>
  </si>
  <si>
    <t>Window</t>
  </si>
  <si>
    <t>KUMBALA SANJEEVA REDDY</t>
  </si>
  <si>
    <t>Chakki</t>
  </si>
  <si>
    <t>KONDHAPURAM NARSAIAH</t>
  </si>
  <si>
    <t>CHAPATI ROLLER</t>
  </si>
  <si>
    <t>KOMMULA BUCHI REDDY</t>
  </si>
  <si>
    <t>Swing</t>
  </si>
  <si>
    <t>KOLA VENKATESH</t>
  </si>
  <si>
    <t>KONGARI SANJEEV</t>
  </si>
  <si>
    <t>Chimney</t>
  </si>
  <si>
    <t>KOTTALA MAHENDHER</t>
  </si>
  <si>
    <t>Clip</t>
  </si>
  <si>
    <t>A. GANGADHAR</t>
  </si>
  <si>
    <t>N. GANGARAM</t>
  </si>
  <si>
    <t>COCONUT FARM</t>
  </si>
  <si>
    <t>GANGA REDDY M</t>
  </si>
  <si>
    <t>Colour Tray &amp; Brush</t>
  </si>
  <si>
    <t>R. GANGAREDDY</t>
  </si>
  <si>
    <t>Almirah</t>
  </si>
  <si>
    <t>M. GANGAREDDY</t>
  </si>
  <si>
    <t>49</t>
  </si>
  <si>
    <t>BENCH</t>
  </si>
  <si>
    <t>K. GANGA REDDY</t>
  </si>
  <si>
    <t>G. C. GANGAREDDY</t>
  </si>
  <si>
    <t>Computer Mouse</t>
  </si>
  <si>
    <t>P. GANGA REDDY</t>
  </si>
  <si>
    <t>CUBE</t>
  </si>
  <si>
    <t>GANGASARAM RAJA REDDY</t>
  </si>
  <si>
    <t>Cup &amp; Saucer</t>
  </si>
  <si>
    <t>GAJJALA SAI PRASAD</t>
  </si>
  <si>
    <t>CUTTING PLIERS</t>
  </si>
  <si>
    <t>GADKOLE RAMESH</t>
  </si>
  <si>
    <t>GADDAM GANGAREDDY</t>
  </si>
  <si>
    <t>Dish Antenna</t>
  </si>
  <si>
    <t>GADDAM THIRUPATHI</t>
  </si>
  <si>
    <t>68</t>
  </si>
  <si>
    <t>Dolli</t>
  </si>
  <si>
    <t>GADDAM PURUSHOTHAM</t>
  </si>
  <si>
    <t>Door Handle</t>
  </si>
  <si>
    <t>GADDAM MOHAN</t>
  </si>
  <si>
    <t>Drill Machine</t>
  </si>
  <si>
    <t>GADDAM RAJENDHARREDDY</t>
  </si>
  <si>
    <t>Dumbbells</t>
  </si>
  <si>
    <t>GADDAM RAJESHWAR</t>
  </si>
  <si>
    <t>GUNDETI SRINIVAS</t>
  </si>
  <si>
    <t>Ear Rings</t>
  </si>
  <si>
    <t>GUJJULA RAMESH</t>
  </si>
  <si>
    <t>Electric Pole</t>
  </si>
  <si>
    <t>GURADI SRINIVAS</t>
  </si>
  <si>
    <t>Envelope</t>
  </si>
  <si>
    <t>GOSKULA MAHESH BABU</t>
  </si>
  <si>
    <t>26</t>
  </si>
  <si>
    <t>CAN</t>
  </si>
  <si>
    <t>CHINTHALAPELLY GANGA REDDY</t>
  </si>
  <si>
    <t>Extension Board</t>
  </si>
  <si>
    <t>CHINTHALAPELLY MOHAN</t>
  </si>
  <si>
    <t>Football</t>
  </si>
  <si>
    <t>CHINTHALAPELLY RAGHUPATHI REDDY</t>
  </si>
  <si>
    <t>Football Player</t>
  </si>
  <si>
    <t>CHINNAIAH MUKKERA</t>
  </si>
  <si>
    <t>Petrol Pump</t>
  </si>
  <si>
    <t>J. CHINNA REDDY</t>
  </si>
  <si>
    <t>CHILKURI GANGANNA</t>
  </si>
  <si>
    <t>Frying Pan</t>
  </si>
  <si>
    <t>M. JEEVAN REDDY</t>
  </si>
  <si>
    <t>Funnel</t>
  </si>
  <si>
    <t>JAIDI CHINNA GANGARAM</t>
  </si>
  <si>
    <t>Ganna Kisan</t>
  </si>
  <si>
    <t>TANKASALA VINAY</t>
  </si>
  <si>
    <t>DABBA RAJA REDDY</t>
  </si>
  <si>
    <t>Gas Stove</t>
  </si>
  <si>
    <t>TALARI SUMAN</t>
  </si>
  <si>
    <t>Gift Pack</t>
  </si>
  <si>
    <t>THIRUPATHI REDDY PANNALA</t>
  </si>
  <si>
    <t>THEEGALA ASHOK REDDY</t>
  </si>
  <si>
    <t>Ginger</t>
  </si>
  <si>
    <t>THEEGALA TIRUPATHI REDDY</t>
  </si>
  <si>
    <t>Gramophone</t>
  </si>
  <si>
    <t>THEEGALA RAJESHWAR</t>
  </si>
  <si>
    <t>Green Chilli</t>
  </si>
  <si>
    <t>THEETLA ANIL</t>
  </si>
  <si>
    <t>Hand Cart</t>
  </si>
  <si>
    <t>TUMMALA NAVEEN</t>
  </si>
  <si>
    <t>Harmonium</t>
  </si>
  <si>
    <t>TURAGA NARSAREDDY</t>
  </si>
  <si>
    <t>Wallet</t>
  </si>
  <si>
    <t>TURPU PEDDA GANGARAM</t>
  </si>
  <si>
    <t>Head Phone</t>
  </si>
  <si>
    <t>THOTA SRINIVAS</t>
  </si>
  <si>
    <t>THORTHI GANGA REDDY</t>
  </si>
  <si>
    <t>HOCKEY &amp; BALL</t>
  </si>
  <si>
    <t>K. DIVAKAR</t>
  </si>
  <si>
    <t>Hour Glass</t>
  </si>
  <si>
    <t>DEVANNA PINDI</t>
  </si>
  <si>
    <t>Immersion Rod</t>
  </si>
  <si>
    <t>DODDI KINDI LINGAREDDY</t>
  </si>
  <si>
    <t>CHESS BOARD</t>
  </si>
  <si>
    <t>NATTA BHAVANNA</t>
  </si>
  <si>
    <t>NADISHARAM MALLAIAH</t>
  </si>
  <si>
    <t>Kettle</t>
  </si>
  <si>
    <t>G. NARSAIAH</t>
  </si>
  <si>
    <t>Key</t>
  </si>
  <si>
    <t>NARSAIAH AKKAGARI</t>
  </si>
  <si>
    <t>Kitchen Sink</t>
  </si>
  <si>
    <t>NALIMELA MAHENDER</t>
  </si>
  <si>
    <t>Lady Finger</t>
  </si>
  <si>
    <t>NALLA NADPI MUTHANNA</t>
  </si>
  <si>
    <t>Lady Purse</t>
  </si>
  <si>
    <t>NALLA BALAKISHAN</t>
  </si>
  <si>
    <t>Latch</t>
  </si>
  <si>
    <t>NAGULAPALLY DEVENDAR</t>
  </si>
  <si>
    <t>BUCKET</t>
  </si>
  <si>
    <t>NEERADI PRAVEEN</t>
  </si>
  <si>
    <t>Letter Box</t>
  </si>
  <si>
    <t>NEMILLA LINGA REDDY</t>
  </si>
  <si>
    <t>Robot</t>
  </si>
  <si>
    <t>NOMULA GOPAL REDDY</t>
  </si>
  <si>
    <t>NOMULA MOHAN REDDY</t>
  </si>
  <si>
    <t>Lighter</t>
  </si>
  <si>
    <t>PADIGELA PRAVEEN</t>
  </si>
  <si>
    <t>Ludo</t>
  </si>
  <si>
    <t>PANNALA NARSA REDDY</t>
  </si>
  <si>
    <t>Man Blowing Turha</t>
  </si>
  <si>
    <t>PUNDRA SRINIVAS REDDY</t>
  </si>
  <si>
    <t>PUTTINTI SAI REDDY</t>
  </si>
  <si>
    <t>Mike</t>
  </si>
  <si>
    <t>PUPPALA HANMANDLU</t>
  </si>
  <si>
    <t>Mixee</t>
  </si>
  <si>
    <t>PRUTHVIRAJ GADEPALLI</t>
  </si>
  <si>
    <t>Grapes</t>
  </si>
  <si>
    <t>PENTA NARSAIAH</t>
  </si>
  <si>
    <t>Winnower</t>
  </si>
  <si>
    <t>PEDDA GANGADHAR TALARI</t>
  </si>
  <si>
    <t>Nail Cutter</t>
  </si>
  <si>
    <t>POTHUGANTI VENKATESH</t>
  </si>
  <si>
    <t>Neck Tie</t>
  </si>
  <si>
    <t>A. POSHETTY</t>
  </si>
  <si>
    <t>Noodles Bowl</t>
  </si>
  <si>
    <t>M. PRAKASH</t>
  </si>
  <si>
    <t>67</t>
  </si>
  <si>
    <t>Pan</t>
  </si>
  <si>
    <t>PRATHAP MACHARLA</t>
  </si>
  <si>
    <t>Pants</t>
  </si>
  <si>
    <t>PRASANTH</t>
  </si>
  <si>
    <t>Peanuts</t>
  </si>
  <si>
    <t>BANDI RAVINDHAR</t>
  </si>
  <si>
    <t>Pears</t>
  </si>
  <si>
    <t>BHANDELA VENKATA RAJAM</t>
  </si>
  <si>
    <t>55</t>
  </si>
  <si>
    <t>Diesel Pump</t>
  </si>
  <si>
    <t>BAKKASETTY GANGADHAR</t>
  </si>
  <si>
    <t>Peas</t>
  </si>
  <si>
    <t>BADDAM ASHOK</t>
  </si>
  <si>
    <t>Pen Drive</t>
  </si>
  <si>
    <t>BADDAM INDRASENA REDDY</t>
  </si>
  <si>
    <t>Pen Nib with Seven Rays</t>
  </si>
  <si>
    <t>BADDAM GANGADHAR</t>
  </si>
  <si>
    <t>Pen Stand</t>
  </si>
  <si>
    <t>BADDAM DEVENDAR</t>
  </si>
  <si>
    <t>Pencil Box</t>
  </si>
  <si>
    <t>BADDAM SRINIVASA REDDY</t>
  </si>
  <si>
    <t>Lunch Box</t>
  </si>
  <si>
    <t>BADDAM SURESH</t>
  </si>
  <si>
    <t>PENCIL SHARPNER</t>
  </si>
  <si>
    <t>BALIJE LAXMI RAJAM</t>
  </si>
  <si>
    <t>58</t>
  </si>
  <si>
    <t>Pendulum</t>
  </si>
  <si>
    <t>BAI SAYANNA</t>
  </si>
  <si>
    <t>Pestle and Mortar</t>
  </si>
  <si>
    <t>BARLA SANTHOSH</t>
  </si>
  <si>
    <t>Fountain</t>
  </si>
  <si>
    <t>B. BALA RAJU</t>
  </si>
  <si>
    <t>Bottle</t>
  </si>
  <si>
    <t>BEJJENKI LINGA REDDY</t>
  </si>
  <si>
    <t>Phone Charger</t>
  </si>
  <si>
    <t>BODUGAM NARENDAR</t>
  </si>
  <si>
    <t>PILLOW</t>
  </si>
  <si>
    <t>G. BORRANNA</t>
  </si>
  <si>
    <t>Pineapple</t>
  </si>
  <si>
    <t>BYAGARI SHANTHAIAH</t>
  </si>
  <si>
    <t>Plastering Trowel</t>
  </si>
  <si>
    <t>MAGGIDI KATIPELLY RAJESH</t>
  </si>
  <si>
    <t>Plate Containing Food</t>
  </si>
  <si>
    <t>MAGGIDI NARSAIAH</t>
  </si>
  <si>
    <t>Air Conditioner</t>
  </si>
  <si>
    <t>MADHU BUTTI</t>
  </si>
  <si>
    <t>Plate Stand</t>
  </si>
  <si>
    <t>M. MALLA REDDY</t>
  </si>
  <si>
    <t>Pressure Cooker</t>
  </si>
  <si>
    <t>N. MALLAREDDY</t>
  </si>
  <si>
    <t>Punching Machine</t>
  </si>
  <si>
    <t>A. MAHIPAL REDDY</t>
  </si>
  <si>
    <t>Sofa</t>
  </si>
  <si>
    <t>MAHENDHAR MUSKU</t>
  </si>
  <si>
    <t>Razor</t>
  </si>
  <si>
    <t>MAMIDI CHINNA REDDY</t>
  </si>
  <si>
    <t>Refrigerator</t>
  </si>
  <si>
    <t>MAMIDI THIRUPATHI REDDY</t>
  </si>
  <si>
    <t>MAMIDI RAJASHEKAR REDDY</t>
  </si>
  <si>
    <t>Room Cooler</t>
  </si>
  <si>
    <t>MARU JANARDHAN</t>
  </si>
  <si>
    <t>Room Heater</t>
  </si>
  <si>
    <t>MITTAPELLI MALLAIAH</t>
  </si>
  <si>
    <t>Rubber Stamp</t>
  </si>
  <si>
    <t>D. MUTHA REDDY</t>
  </si>
  <si>
    <t>Safety Pin</t>
  </si>
  <si>
    <t>MUTHENNA LAKKARA</t>
  </si>
  <si>
    <t>Saw</t>
  </si>
  <si>
    <t>MUSKU RAJESHWAR</t>
  </si>
  <si>
    <t>School Bag</t>
  </si>
  <si>
    <t>MEKKONDA RAMREDDY</t>
  </si>
  <si>
    <t>Telephone</t>
  </si>
  <si>
    <t>MOHD. JAMEEL</t>
  </si>
  <si>
    <t>Scissors</t>
  </si>
  <si>
    <t>MEDIPELLY SHEKAR REDDY</t>
  </si>
  <si>
    <t>Y. RAJITHA</t>
  </si>
  <si>
    <t>Capsicum</t>
  </si>
  <si>
    <t>G. RAMESH</t>
  </si>
  <si>
    <t>Sewing Machine</t>
  </si>
  <si>
    <t>S. RAMESH REDDY</t>
  </si>
  <si>
    <t>Shoe</t>
  </si>
  <si>
    <t>RAVI SHANKER KUNTA</t>
  </si>
  <si>
    <t>Shutter</t>
  </si>
  <si>
    <t>RAJANNA</t>
  </si>
  <si>
    <t>Skipping Rope</t>
  </si>
  <si>
    <t>RAJA VENKAT REDDY PASHAPU</t>
  </si>
  <si>
    <t>Slate</t>
  </si>
  <si>
    <t>S. RAJASHEKAR</t>
  </si>
  <si>
    <t>Soap Dish</t>
  </si>
  <si>
    <t>RAJU SOMIREDDY</t>
  </si>
  <si>
    <t>Socks</t>
  </si>
  <si>
    <t>P. RAJENDHAR</t>
  </si>
  <si>
    <t>Stapler</t>
  </si>
  <si>
    <t>RAPELLY SRINIVAS</t>
  </si>
  <si>
    <t>K. RAM RAJ</t>
  </si>
  <si>
    <t>Stethoscope</t>
  </si>
  <si>
    <t>RAYIDI MAHESH</t>
  </si>
  <si>
    <t>Stool</t>
  </si>
  <si>
    <t>RIKKALA RAJAREDDY</t>
  </si>
  <si>
    <t>Ice Cream</t>
  </si>
  <si>
    <t>LAXMAN GANNA</t>
  </si>
  <si>
    <t>Switchboard</t>
  </si>
  <si>
    <t>LINGAPURAM BHUMESHWAR</t>
  </si>
  <si>
    <t>Whistle</t>
  </si>
  <si>
    <t>P. LIMBAREDDY</t>
  </si>
  <si>
    <t>Syringe</t>
  </si>
  <si>
    <t>LOKA SUBHASH</t>
  </si>
  <si>
    <t>BOX</t>
  </si>
  <si>
    <t>G. VIJAY</t>
  </si>
  <si>
    <t>T.V. Remote</t>
  </si>
  <si>
    <t>VENKAT REDDY JAIDI</t>
  </si>
  <si>
    <t>BELT</t>
  </si>
  <si>
    <t>VELMA MALLA REDDY</t>
  </si>
  <si>
    <t>Sitar</t>
  </si>
  <si>
    <t>M. SHEKAR</t>
  </si>
  <si>
    <t>B. SRINIVAS</t>
  </si>
  <si>
    <t>Table</t>
  </si>
  <si>
    <t>SANJEEVA REDDY GADDAM</t>
  </si>
  <si>
    <t>Tea Filter</t>
  </si>
  <si>
    <t>SANTHA LINGAREDDY</t>
  </si>
  <si>
    <t>SANTOSH</t>
  </si>
  <si>
    <t xml:space="preserve">Tennis Racket &amp; Ball </t>
  </si>
  <si>
    <t>SANDI REDDY GOPAL REDDY</t>
  </si>
  <si>
    <t>Tent</t>
  </si>
  <si>
    <t>SAMA THIRUPATHI</t>
  </si>
  <si>
    <t>Spanner</t>
  </si>
  <si>
    <t>SAMA BHASKER REDDY</t>
  </si>
  <si>
    <t>Throwing a Javelin</t>
  </si>
  <si>
    <t>SAMA SWAMI REDDY</t>
  </si>
  <si>
    <t>Tiller</t>
  </si>
  <si>
    <t>E. SAI REDDY</t>
  </si>
  <si>
    <t>Toffees</t>
  </si>
  <si>
    <t>SUNKARI RAJKUMAR</t>
  </si>
  <si>
    <t>Tongs</t>
  </si>
  <si>
    <t>SUNKETA RAVI</t>
  </si>
  <si>
    <t>Tooth Brush</t>
  </si>
  <si>
    <t>G. SUJITH</t>
  </si>
  <si>
    <t>Balloon</t>
  </si>
  <si>
    <t>SUMAN</t>
  </si>
  <si>
    <t>Tooth Paste</t>
  </si>
  <si>
    <t>SUMAN MAGGIDI</t>
  </si>
  <si>
    <t>CARPET</t>
  </si>
  <si>
    <t>SURAKANTA RAJA REDDY</t>
  </si>
  <si>
    <t>Triangle</t>
  </si>
  <si>
    <t>SURESH BASA</t>
  </si>
  <si>
    <t>SOMA SRINIVAS</t>
  </si>
  <si>
    <t>Door Bell</t>
  </si>
  <si>
    <t>SOMIDI LIMBAIAH</t>
  </si>
  <si>
    <t>Tube light</t>
  </si>
  <si>
    <t>Zahirabad</t>
  </si>
  <si>
    <t>B.B.PATIL</t>
  </si>
  <si>
    <t>BANALA LAXMA REDDY</t>
  </si>
  <si>
    <t>MADAN MOHAN RAO</t>
  </si>
  <si>
    <t>ALIGE JEEVAN</t>
  </si>
  <si>
    <t>KALESH</t>
  </si>
  <si>
    <t>BARP</t>
  </si>
  <si>
    <t>MARK BABU</t>
  </si>
  <si>
    <t>MOHAMMED NAWAZ</t>
  </si>
  <si>
    <t>ANC</t>
  </si>
  <si>
    <t>SRINIVAS GOUD KASALA</t>
  </si>
  <si>
    <t>NANGUNOORI LATHA</t>
  </si>
  <si>
    <t>BENJAMIN RAJU</t>
  </si>
  <si>
    <t>MUDIRAJ VENKATESHAM</t>
  </si>
  <si>
    <t>RAMARAO PATIL</t>
  </si>
  <si>
    <t>Medak</t>
  </si>
  <si>
    <t>Anil Kumar Gali</t>
  </si>
  <si>
    <t>Kotha Prabhakar Reddy</t>
  </si>
  <si>
    <t>Madavaneni Raghunandan Rao</t>
  </si>
  <si>
    <t>Bharatesh</t>
  </si>
  <si>
    <t>SUCI(C)</t>
  </si>
  <si>
    <t>Madhava Reddy Gari Hanmantha Reddy</t>
  </si>
  <si>
    <t>SHS</t>
  </si>
  <si>
    <t>Merige Santhosh Reddy</t>
  </si>
  <si>
    <t>Kallu Narsimlu Goud</t>
  </si>
  <si>
    <t>Gajabhinkar Bansilal</t>
  </si>
  <si>
    <t>Thummalapally Pruthviraj</t>
  </si>
  <si>
    <t>Bangaru Krishna</t>
  </si>
  <si>
    <t>Malkajgiri</t>
  </si>
  <si>
    <t>ANUMULA REVANTH REDDY</t>
  </si>
  <si>
    <t>RAJASHEKAR REDDY MARRI</t>
  </si>
  <si>
    <t>RAMCHANDER RAO NARAPARAJU</t>
  </si>
  <si>
    <t>CHAMAKURA RAJAIAH</t>
  </si>
  <si>
    <t>SJPI</t>
  </si>
  <si>
    <t>DHARMASANAM BHANUMURTHY</t>
  </si>
  <si>
    <t>PrStP</t>
  </si>
  <si>
    <t>BALAMANI BURU</t>
  </si>
  <si>
    <t>MAHENDER REDDY BONGUNOORI</t>
  </si>
  <si>
    <t>CHALIKA CHANDRA SEKHAR</t>
  </si>
  <si>
    <t>THIRUPATAIAH ENDURAM</t>
  </si>
  <si>
    <t>DONTHULA BIKSHAPATHI</t>
  </si>
  <si>
    <t>RAJENDER PONNALA</t>
  </si>
  <si>
    <t>SAI KIRAN GONE</t>
  </si>
  <si>
    <t>Secundrabad</t>
  </si>
  <si>
    <t>ANJAN KUMAR YADAV. M</t>
  </si>
  <si>
    <t>G . KISHAN REDDY</t>
  </si>
  <si>
    <t>TALASANI SAI KIRAN YADAV</t>
  </si>
  <si>
    <t>M . ASHOK KUMAR</t>
  </si>
  <si>
    <t>ANDUKURI VIJAYA BHASKAR</t>
  </si>
  <si>
    <t>CHALLA RAM KALYAN</t>
  </si>
  <si>
    <t>DORNALA JAYA PRAKASH</t>
  </si>
  <si>
    <t>NIP</t>
  </si>
  <si>
    <t>M . D . NAZEERUDDIN QUADRI</t>
  </si>
  <si>
    <t>ABML(S)</t>
  </si>
  <si>
    <t>J . MALLESH</t>
  </si>
  <si>
    <t>J . N . RAO</t>
  </si>
  <si>
    <t>64</t>
  </si>
  <si>
    <t>DABAP</t>
  </si>
  <si>
    <t>G . LAXMINARSIMHA RAO</t>
  </si>
  <si>
    <t>TGPJP</t>
  </si>
  <si>
    <t>N . SHANKAR GOUD</t>
  </si>
  <si>
    <t>S . SATYAVATHI</t>
  </si>
  <si>
    <t>AKHIL CHIRRAVURI</t>
  </si>
  <si>
    <t>ABDUL AZEEM</t>
  </si>
  <si>
    <t>ABDALLAH IBRAHIM</t>
  </si>
  <si>
    <t>ANDRAPU SUDHARSHAN ( GANGAPUTRA )</t>
  </si>
  <si>
    <t>JUNAID ANAM SIDDIQUI</t>
  </si>
  <si>
    <t>NANDIPATI VINOD KUMAR</t>
  </si>
  <si>
    <t>FARHA NAAZ KHAN</t>
  </si>
  <si>
    <t>BATHULA RAVI</t>
  </si>
  <si>
    <t>BODDU SATISH</t>
  </si>
  <si>
    <t>MUNEER PASHA</t>
  </si>
  <si>
    <t>RAVI KUMAR VODELA</t>
  </si>
  <si>
    <t>R . LAXMAN RAO GANGAPUTRA</t>
  </si>
  <si>
    <t>K . VENKATANARAYANA</t>
  </si>
  <si>
    <t>SRIRAMA NAIK MUNAVATH</t>
  </si>
  <si>
    <t>M. G. SAI BABA</t>
  </si>
  <si>
    <t>Hyderabad</t>
  </si>
  <si>
    <t>ASADUDDIN OWAISI</t>
  </si>
  <si>
    <t>AIMIM</t>
  </si>
  <si>
    <t>Kite</t>
  </si>
  <si>
    <t>PUSTHE SRIKANTH</t>
  </si>
  <si>
    <t>Dr. BHAGAVANTH RAO</t>
  </si>
  <si>
    <t>MOHAMMED FEROZ KHAN</t>
  </si>
  <si>
    <t>RANGACHARYA</t>
  </si>
  <si>
    <t>L. ASHOK NATH</t>
  </si>
  <si>
    <t>K. NAGARAJ</t>
  </si>
  <si>
    <t>V. BAL KRISHNA</t>
  </si>
  <si>
    <t>BEERAMGANTI VENKAT RAMESH NAIDU</t>
  </si>
  <si>
    <t>MOHAMMED ABDUL AZEEM</t>
  </si>
  <si>
    <t>MOHD AHMED</t>
  </si>
  <si>
    <t>K. MAHESHWAR</t>
  </si>
  <si>
    <t>SANJAY KUMAR SHUKLA</t>
  </si>
  <si>
    <t>Dr. H. SUSHEEL RAJ</t>
  </si>
  <si>
    <t>Konda Vishweshwar Reddy</t>
  </si>
  <si>
    <t>Dr. G. Ranjith Reddy</t>
  </si>
  <si>
    <t>B. Janardhan Reddy</t>
  </si>
  <si>
    <t>Vijay Aarya</t>
  </si>
  <si>
    <t>Giri Kummari</t>
  </si>
  <si>
    <t>Korra Pandu Naik</t>
  </si>
  <si>
    <t>Gurram Papi Reddy</t>
  </si>
  <si>
    <t>Chepuri Raju</t>
  </si>
  <si>
    <t>Nalla Prem Kumar</t>
  </si>
  <si>
    <t>pjdl</t>
  </si>
  <si>
    <t>Palamakula Madhu</t>
  </si>
  <si>
    <t>Baswaiah Madiga</t>
  </si>
  <si>
    <t>PJSP</t>
  </si>
  <si>
    <t>Bennala Julee</t>
  </si>
  <si>
    <t>NATWOMP</t>
  </si>
  <si>
    <t>Ragam Sathesh Yadav</t>
  </si>
  <si>
    <t>AIFB</t>
  </si>
  <si>
    <t>Lion</t>
  </si>
  <si>
    <t>Ija Venkatesh Goud</t>
  </si>
  <si>
    <t>Vanam Sudhakar</t>
  </si>
  <si>
    <t>A.A. Sabri</t>
  </si>
  <si>
    <t>69</t>
  </si>
  <si>
    <t>Anusha Keshavabhatla</t>
  </si>
  <si>
    <t>Yedla Suresh</t>
  </si>
  <si>
    <t>Jaidupally Yadaiah</t>
  </si>
  <si>
    <t>T. Durga Prasad</t>
  </si>
  <si>
    <t>P. Purushotham</t>
  </si>
  <si>
    <t>G. Ravi Kumar Yadav</t>
  </si>
  <si>
    <t>Sanem Raju Goud</t>
  </si>
  <si>
    <t>Mahbubnagar</t>
  </si>
  <si>
    <t>ARUNA D.K</t>
  </si>
  <si>
    <t>CHALLA VAMSHI CHAND REDDY</t>
  </si>
  <si>
    <t>MANNE SRINIVAS REDDY</t>
  </si>
  <si>
    <t>IMRAN AHMED KHAN</t>
  </si>
  <si>
    <t>V. DASRAM NAYAK</t>
  </si>
  <si>
    <t>E. Shivadurgavaraprasad Reddy</t>
  </si>
  <si>
    <t>IRNP</t>
  </si>
  <si>
    <t>Azeez Khan M.A.</t>
  </si>
  <si>
    <t>Imtiyaz Ahamad</t>
  </si>
  <si>
    <t>JORIGHA VISHWESHWAR</t>
  </si>
  <si>
    <t>D. Thimmappa</t>
  </si>
  <si>
    <t>POLA PRASHANTH KUMAR</t>
  </si>
  <si>
    <t>Munnurukapu Gopal Reddy</t>
  </si>
  <si>
    <t>Nagarkurnool</t>
  </si>
  <si>
    <t>POTHUGANTI RAMULU</t>
  </si>
  <si>
    <t>66</t>
  </si>
  <si>
    <t>DR MALLU RAVI</t>
  </si>
  <si>
    <t>B YOSEF</t>
  </si>
  <si>
    <t>SHRUTHI BANGARU ALIAS BANGARU SHRUTHI</t>
  </si>
  <si>
    <t>V AMARNATH</t>
  </si>
  <si>
    <t>GADDAM VIJAY</t>
  </si>
  <si>
    <t>KARVANGA SHARATH</t>
  </si>
  <si>
    <t>CHARAGONDA KRISHNAMMA</t>
  </si>
  <si>
    <t>PRABHUDASU BANDARU THUMU</t>
  </si>
  <si>
    <t>BAAKI RENUKA</t>
  </si>
  <si>
    <t>SRINIVAS BUDDULA</t>
  </si>
  <si>
    <t>Nalgonda</t>
  </si>
  <si>
    <t>UTTAM KUMAR REDDY NALAMADA</t>
  </si>
  <si>
    <t>GARLAPATI JITHENDRA KUMAR</t>
  </si>
  <si>
    <t>MALLU LAXMI</t>
  </si>
  <si>
    <t>CPIM</t>
  </si>
  <si>
    <t>Hammer, Sickle and Star</t>
  </si>
  <si>
    <t>VEMIREDDY NARASIMHA REDDY</t>
  </si>
  <si>
    <t>AKULA PAUL</t>
  </si>
  <si>
    <t>KATRAVATH VENKATESH</t>
  </si>
  <si>
    <t>JANAIAH NANDIPATI</t>
  </si>
  <si>
    <t>TSP</t>
  </si>
  <si>
    <t>MEKALA SATHEESH REDDY</t>
  </si>
  <si>
    <t>LALU NAIK RAMAVATH</t>
  </si>
  <si>
    <t>BRPPA</t>
  </si>
  <si>
    <t>LITHESH SUNKARI</t>
  </si>
  <si>
    <t>SOLIPURAM VENUGOPAL REDDY</t>
  </si>
  <si>
    <t>KARAMTOTHU MANGTHA</t>
  </si>
  <si>
    <t>KIRAN VANGAPALLI</t>
  </si>
  <si>
    <t>JAKKULA NAVEEN YADAV</t>
  </si>
  <si>
    <t>THAGULLA JANARDHAN</t>
  </si>
  <si>
    <t>THANDU UPENDAR</t>
  </si>
  <si>
    <t>NAKIRIKANTI. CHITTEMMA</t>
  </si>
  <si>
    <t>POLISHETTY VENKATESHWARLU</t>
  </si>
  <si>
    <t>BANDARU NAGARAJU</t>
  </si>
  <si>
    <t>MADHU SAPAVATH</t>
  </si>
  <si>
    <t>MARRI. NEHEMIAH</t>
  </si>
  <si>
    <t>MARAM VENKAT REDDY</t>
  </si>
  <si>
    <t>MEKALA VENKANNA</t>
  </si>
  <si>
    <t>RAMESH SUNKARA</t>
  </si>
  <si>
    <t>ROYYALA. SRINIVASULU</t>
  </si>
  <si>
    <t>LINGIDI VENKATESWARLU</t>
  </si>
  <si>
    <t>SREENU VADTHYA</t>
  </si>
  <si>
    <t>Komati Reddy Venkat Reddy</t>
  </si>
  <si>
    <t>Goda Sri Ramulu</t>
  </si>
  <si>
    <t>CPI</t>
  </si>
  <si>
    <t>Ears of Corn And Sickle</t>
  </si>
  <si>
    <t>Dr. Boora Narsaiah Goud</t>
  </si>
  <si>
    <t>P.V. Shyam Sunder Rao</t>
  </si>
  <si>
    <t>Kotha Kistaiah</t>
  </si>
  <si>
    <t>S.V. Ramana Rao</t>
  </si>
  <si>
    <t>Samrat Narender Boilla</t>
  </si>
  <si>
    <t>RPI</t>
  </si>
  <si>
    <t>Devaram Nayak Sapavat</t>
  </si>
  <si>
    <t>Bhimanaboina Ramesh Yadav</t>
  </si>
  <si>
    <t>Morigadi Krishna</t>
  </si>
  <si>
    <t>Sri Ramulu Muthyala</t>
  </si>
  <si>
    <t>Singapaka Lingam</t>
  </si>
  <si>
    <t>Seeka Balraj Goud</t>
  </si>
  <si>
    <t>Warangal</t>
  </si>
  <si>
    <t>CHINTHA SAMBAMURTHY</t>
  </si>
  <si>
    <t>65</t>
  </si>
  <si>
    <t>DAYAKAR PASUNOORI</t>
  </si>
  <si>
    <t>DOMMATI SAMBAIAH</t>
  </si>
  <si>
    <t>BOLLAPALLY SARAIAH</t>
  </si>
  <si>
    <t>KANNAM VENKANNA</t>
  </si>
  <si>
    <t>PANIGANTI RAJITHAVANI</t>
  </si>
  <si>
    <t>BUNGA JYOTHI RAMANA</t>
  </si>
  <si>
    <t>AHNP</t>
  </si>
  <si>
    <t>BOCHU KRUPAKAR</t>
  </si>
  <si>
    <t>HBP</t>
  </si>
  <si>
    <t>SURESH KANAKAM</t>
  </si>
  <si>
    <t>AITHA PRAVEEN KUMAR</t>
  </si>
  <si>
    <t>UPENDER JERIPOTHULA</t>
  </si>
  <si>
    <t>CHILUVERU PRATHAP</t>
  </si>
  <si>
    <t>JANNU NARSAIAH</t>
  </si>
  <si>
    <t>PASULA RAMMURTHY</t>
  </si>
  <si>
    <t>BARLA SRINIVAS</t>
  </si>
  <si>
    <t>Kalluri. Venkateswara Rao.</t>
  </si>
  <si>
    <t>Kavitha Malothu</t>
  </si>
  <si>
    <t>Jatothu Hussain</t>
  </si>
  <si>
    <t>Balaram Naik Porika</t>
  </si>
  <si>
    <t>Arun Kumar Mypathi</t>
  </si>
  <si>
    <t>TJS</t>
  </si>
  <si>
    <t>B. Parvathi</t>
  </si>
  <si>
    <t>Balsingh Daravath</t>
  </si>
  <si>
    <t>Bhaskar Naik Bhukya. Dr,,</t>
  </si>
  <si>
    <t>Uke Kousalya.</t>
  </si>
  <si>
    <t>Kalthi Yarraiah</t>
  </si>
  <si>
    <t>Palvancha. Durga.</t>
  </si>
  <si>
    <t>Balu Nayak Bhukya</t>
  </si>
  <si>
    <t>Mokalla. Murali Krishna.</t>
  </si>
  <si>
    <t>Vaditya Shriram Naik</t>
  </si>
  <si>
    <t>DEVAKI VASUDEVA RAO</t>
  </si>
  <si>
    <t>NAMA NAGESWR RAO</t>
  </si>
  <si>
    <t>Boda Venkat</t>
  </si>
  <si>
    <t>RENUKA CHOWDHURY</t>
  </si>
  <si>
    <t>UMAMAHESWARA RAO CHERUKUPALLI</t>
  </si>
  <si>
    <t>TELYS</t>
  </si>
  <si>
    <t>KATTA SRINIVAS</t>
  </si>
  <si>
    <t>YSRPP</t>
  </si>
  <si>
    <t>GOPOJU RAMESH BABU</t>
  </si>
  <si>
    <t>TECPI</t>
  </si>
  <si>
    <t>NARALA SATYANARAYANA</t>
  </si>
  <si>
    <t>NAGESWARA RAO LAKAVATH</t>
  </si>
  <si>
    <t>VENKATESWAR RAO PULLAKHANDAM</t>
  </si>
  <si>
    <t>ANIL KUMAR MADDINENI</t>
  </si>
  <si>
    <t>Chappals</t>
  </si>
  <si>
    <t>AVUTAPALLI RAMBABU</t>
  </si>
  <si>
    <t>KOPPULA SREENIVASARAO</t>
  </si>
  <si>
    <t>GUGULOTHU RAMESH</t>
  </si>
  <si>
    <t>GOKINAPALLI VENKATESWAR RAO</t>
  </si>
  <si>
    <t>GOPAGANI SHANKARA RAO</t>
  </si>
  <si>
    <t>DUNUKU VELADRI</t>
  </si>
  <si>
    <t>PARSAGANI NAGESWARA RAO</t>
  </si>
  <si>
    <t>PALVANCHA RAMARAO</t>
  </si>
  <si>
    <t>BHANALA LAXMANA CHARY</t>
  </si>
  <si>
    <t>MUTYAM ARJUNA RAJU</t>
  </si>
  <si>
    <t>LAXMA NAIK BANOTH</t>
  </si>
  <si>
    <t>SANJEEVA RAO NAKIRIKANTI</t>
  </si>
  <si>
    <t xml:space="preserve">Year </t>
  </si>
  <si>
    <t>State Name</t>
  </si>
  <si>
    <t>PC Name</t>
  </si>
  <si>
    <t>Candidate Name</t>
  </si>
  <si>
    <t>Gender</t>
  </si>
  <si>
    <t>Age</t>
  </si>
  <si>
    <t>Category</t>
  </si>
  <si>
    <t>Party Name</t>
  </si>
  <si>
    <t>Party Symbol</t>
  </si>
  <si>
    <t>Total Votes Polled In
The Constituency</t>
  </si>
  <si>
    <t>Valid Votes</t>
  </si>
  <si>
    <t>Votes Polled Per Party</t>
  </si>
  <si>
    <t>Party Vote Share Percentage</t>
  </si>
  <si>
    <t>Max Votes Other Than BJP</t>
  </si>
  <si>
    <t xml:space="preserve">Max Vote share other than bjp </t>
  </si>
  <si>
    <t>BJP votes</t>
  </si>
  <si>
    <t>BJP vote share</t>
  </si>
  <si>
    <t xml:space="preserve">Voter Turnout </t>
  </si>
  <si>
    <t>BJP STATUS</t>
  </si>
  <si>
    <t>Adilabad</t>
  </si>
  <si>
    <t>GODAM NAGESH</t>
  </si>
  <si>
    <t>ATHRAM SUGUNA</t>
  </si>
  <si>
    <t>ATHRAM SAKKU</t>
  </si>
  <si>
    <t>BHRS</t>
  </si>
  <si>
    <t>MALOTHU SYAMLAL NAYAK</t>
  </si>
  <si>
    <t>AODRP</t>
  </si>
  <si>
    <t>Chapati roller</t>
  </si>
  <si>
    <t>MESRAM JANGUBAPU</t>
  </si>
  <si>
    <t>RATHOD SUBASH</t>
  </si>
  <si>
    <t>Gas cylinder</t>
  </si>
  <si>
    <t>BUKYA JAIVANTH RAO</t>
  </si>
  <si>
    <t>Pressure cooker</t>
  </si>
  <si>
    <t>CHAVAN SUDHARSHAN</t>
  </si>
  <si>
    <t>AYSRCP</t>
  </si>
  <si>
    <t>Road roller</t>
  </si>
  <si>
    <t>GANGADEVI MESRAM</t>
  </si>
  <si>
    <t>DHRMSMJP</t>
  </si>
  <si>
    <t>N. TIRUPATI</t>
  </si>
  <si>
    <t>VTRP</t>
  </si>
  <si>
    <t>KODAPA VAMAN RAO</t>
  </si>
  <si>
    <t>GNDWDKP</t>
  </si>
  <si>
    <t>Man blowing turha</t>
  </si>
  <si>
    <t>GEDAM. SAGAR</t>
  </si>
  <si>
    <t>Peddapalle</t>
  </si>
  <si>
    <t>VAMSI KRISHNA GADDAM</t>
  </si>
  <si>
    <t>SRINIVAS GOMASE</t>
  </si>
  <si>
    <t>ESHWAR KOPPULA</t>
  </si>
  <si>
    <t>ERUKULLA RAJANARSAIAH</t>
  </si>
  <si>
    <t>MOYYI VENUGOPAL</t>
  </si>
  <si>
    <t>MOTHE NARESH</t>
  </si>
  <si>
    <t>PPID</t>
  </si>
  <si>
    <t>RAMESH MANDA</t>
  </si>
  <si>
    <t>A SUMALATHA</t>
  </si>
  <si>
    <t>DURGAM RAMULU</t>
  </si>
  <si>
    <t>Sewing machine</t>
  </si>
  <si>
    <t>MULKALLA RAJENDRA PRASAD</t>
  </si>
  <si>
    <t>Diamond</t>
  </si>
  <si>
    <t>RAMCHANDAR NICHAKOLA</t>
  </si>
  <si>
    <t>Glass tumbler</t>
  </si>
  <si>
    <t>KANDI CHANDHU</t>
  </si>
  <si>
    <t>RSHTMNVP</t>
  </si>
  <si>
    <t>Nagrik</t>
  </si>
  <si>
    <t>RAMULA KARTHIK</t>
  </si>
  <si>
    <t>MOLUGU VENKATESH</t>
  </si>
  <si>
    <t>Baby walker</t>
  </si>
  <si>
    <t>ERUGURALA BHAGYALAXMI</t>
  </si>
  <si>
    <t>Flute</t>
  </si>
  <si>
    <t>GADDAM MARUTI</t>
  </si>
  <si>
    <t>Box</t>
  </si>
  <si>
    <t>NAVEEN NUKALA</t>
  </si>
  <si>
    <t>AKSHAY KUMAR MEKALA</t>
  </si>
  <si>
    <t>K SANDEEP</t>
  </si>
  <si>
    <t>BOTLA CHANDRAIAH</t>
  </si>
  <si>
    <t>ERIKILLA RAJESH</t>
  </si>
  <si>
    <t>AKKAPAKA THIRUPATHI</t>
  </si>
  <si>
    <t>DURGAM SANTHOSH</t>
  </si>
  <si>
    <t>PS</t>
  </si>
  <si>
    <t>MAMIDIPELLY BAPAIAH</t>
  </si>
  <si>
    <t>DUDA MAHIPAL</t>
  </si>
  <si>
    <t>Carrom board</t>
  </si>
  <si>
    <t>BOODIDHA THIRUPATHI</t>
  </si>
  <si>
    <t>Bicycle pump</t>
  </si>
  <si>
    <t>DAGAM SRINIVAS</t>
  </si>
  <si>
    <t>KADASI SHEKHAR</t>
  </si>
  <si>
    <t>Ship</t>
  </si>
  <si>
    <t>PROFESSOR NATHANIEL</t>
  </si>
  <si>
    <t>Bucket</t>
  </si>
  <si>
    <t>AARNAKONDA RAJU</t>
  </si>
  <si>
    <t>JANAGAMA NARESH</t>
  </si>
  <si>
    <t>Bench</t>
  </si>
  <si>
    <t>CHILUKA ANAND</t>
  </si>
  <si>
    <t>YVTRP</t>
  </si>
  <si>
    <t>TALLAPALLY NARESH</t>
  </si>
  <si>
    <t>KURMA MAHENDER</t>
  </si>
  <si>
    <t>CHANDANAGIRI SRINIVAS</t>
  </si>
  <si>
    <t>Bead necklace</t>
  </si>
  <si>
    <t>KASHI SATHISH KUMAR</t>
  </si>
  <si>
    <t>KANAKAIAH MULKALA</t>
  </si>
  <si>
    <t>SP(I)</t>
  </si>
  <si>
    <t>SRINIVAS PANTHUKALA</t>
  </si>
  <si>
    <t>Biscuit</t>
  </si>
  <si>
    <t>LINGAMURTHI KONKATI</t>
  </si>
  <si>
    <t>JUPAKA KIRAN</t>
  </si>
  <si>
    <t>Belt</t>
  </si>
  <si>
    <t>DURGAM RAJANNA</t>
  </si>
  <si>
    <t>RAJESHAM RACHARLA</t>
  </si>
  <si>
    <t>Black board</t>
  </si>
  <si>
    <t>Karimnagar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</si>
  <si>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</si>
  <si>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</si>
  <si>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</si>
  <si>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</si>
  <si>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</si>
  <si>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</si>
  <si>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</si>
  <si>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</si>
  <si>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</si>
  <si>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BYKD</t>
  </si>
  <si>
    <t>GADDA SATHISH</t>
  </si>
  <si>
    <t>ANILREDDY KADTHALA</t>
  </si>
  <si>
    <t>NNKP</t>
  </si>
  <si>
    <t>Hand cart</t>
  </si>
  <si>
    <t>CHILUVERU SRIKANTH</t>
  </si>
  <si>
    <t>JOURNALIST VIKRAM REDDY VEMULAA</t>
  </si>
  <si>
    <t>ASHOK PANCHIKA</t>
  </si>
  <si>
    <t>GAVVALA LAXMI</t>
  </si>
  <si>
    <t>GATTAIAH YADAV BARIGE</t>
  </si>
  <si>
    <t>RANAPRATAP GATTU</t>
  </si>
  <si>
    <t>Ganna kisan</t>
  </si>
  <si>
    <t>GUDISHE MOHAN</t>
  </si>
  <si>
    <t>Computer</t>
  </si>
  <si>
    <t>MANASA PERALA</t>
  </si>
  <si>
    <t>PODISHETTI SAMMAIAH</t>
  </si>
  <si>
    <t>VENKATANARSAIAH DYAGALA @ DEGALA</t>
  </si>
  <si>
    <t>SHIVARATRI SRINIVAS</t>
  </si>
  <si>
    <t>Air conditioner</t>
  </si>
  <si>
    <t>CHINTHA ANILKUMAR</t>
  </si>
  <si>
    <t>CHEEKOTI VARUN KUMAR GUPTA</t>
  </si>
  <si>
    <t>TCPY</t>
  </si>
  <si>
    <t>RAPOLE RAMKUMAR BHARADWAJ</t>
  </si>
  <si>
    <t>DEVUNOORI SRINIVASU</t>
  </si>
  <si>
    <t>JEEVANREDDY THATIPARTHI</t>
  </si>
  <si>
    <t>72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</si>
  <si>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</si>
  <si>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</si>
  <si>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</si>
  <si>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</si>
  <si>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</si>
  <si>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</si>
  <si>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Room cooler</t>
  </si>
  <si>
    <t>KANDELA SUMAN</t>
  </si>
  <si>
    <t>GOLI. NARESH</t>
  </si>
  <si>
    <t>ARE RAJENDHAR</t>
  </si>
  <si>
    <t>Ear rings</t>
  </si>
  <si>
    <t>KOTHAKONDA SHAKTI PRASAD</t>
  </si>
  <si>
    <t>VEMULAA VIKRAM REDDY</t>
  </si>
  <si>
    <t>GOPI CHENDRIAH</t>
  </si>
  <si>
    <t>ALI MANSOOR</t>
  </si>
  <si>
    <t>GUYYA SAIKRISHNA MURTHY</t>
  </si>
  <si>
    <t>YGATLSIP</t>
  </si>
  <si>
    <t>SYED ASGAR</t>
  </si>
  <si>
    <t>MALAVAT VITHAL</t>
  </si>
  <si>
    <t>MOGILI RAJKUMAR</t>
  </si>
  <si>
    <t>DESHABOINA LAXMINARAYANA</t>
  </si>
  <si>
    <t>ABBAGONI ASHOK GOUD</t>
  </si>
  <si>
    <t>BLFP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</si>
  <si>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</si>
  <si>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</si>
  <si>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</si>
  <si>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</si>
  <si>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</si>
  <si>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</si>
  <si>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</si>
  <si>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SURESH KUMAR SHETKAR</t>
  </si>
  <si>
    <t>B. B. PATIL</t>
  </si>
  <si>
    <t>ANILKUMAR GALI</t>
  </si>
  <si>
    <t>KOTHA BALIJA BASWARAJ</t>
  </si>
  <si>
    <t>TPSP</t>
  </si>
  <si>
    <t>CHAVAGANI MANI</t>
  </si>
  <si>
    <t>YAKUB SHARIF MD</t>
  </si>
  <si>
    <t>MAHADHEV SWAMI MATAM</t>
  </si>
  <si>
    <t>B. MARUTHI RAO</t>
  </si>
  <si>
    <t>S. RAJU</t>
  </si>
  <si>
    <t>SATYANARAYANA GOUD KOVURI</t>
  </si>
  <si>
    <t>RAMESH. SAJJAPUR.</t>
  </si>
  <si>
    <t>KAMMARI ANANDEESHWAR</t>
  </si>
  <si>
    <t>Pen nib with seven rays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</si>
  <si>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</si>
  <si>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</si>
  <si>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</si>
  <si>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</si>
  <si>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</si>
  <si>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</si>
  <si>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</si>
  <si>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MADHAVANENI RAGHUNANDAN RAO</t>
  </si>
  <si>
    <t>NEELAM MADHU</t>
  </si>
  <si>
    <t>P. VENKATRAMA REDDY</t>
  </si>
  <si>
    <t>NANDA KISHORE TALLADA</t>
  </si>
  <si>
    <t>SARA YADAGIRI GOUD</t>
  </si>
  <si>
    <t>PRJVLGUP</t>
  </si>
  <si>
    <t>BODAPATLA ESHWAR</t>
  </si>
  <si>
    <t>DUBALA SRI SAILAM</t>
  </si>
  <si>
    <t>ADLA KUMAR</t>
  </si>
  <si>
    <t>BANDAPALLY SRINIVAS</t>
  </si>
  <si>
    <t>SUCI</t>
  </si>
  <si>
    <t>ANIL GOUD</t>
  </si>
  <si>
    <t>BHRTJDOP</t>
  </si>
  <si>
    <t>ATI ANJANEYULU</t>
  </si>
  <si>
    <t>ABHILASH CHELIMELA</t>
  </si>
  <si>
    <t>MAISANGARI SUNIL</t>
  </si>
  <si>
    <t>PRADEEP</t>
  </si>
  <si>
    <t>INDRAGOUD SILIVERI</t>
  </si>
  <si>
    <t>NAGAMANI ACHA</t>
  </si>
  <si>
    <t>Gift pack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</si>
  <si>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</si>
  <si>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</si>
  <si>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</si>
  <si>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</si>
  <si>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</si>
  <si>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</si>
  <si>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</si>
  <si>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</si>
  <si>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Vacuum cleaner</t>
  </si>
  <si>
    <t>ABHISHEK GOUD THABETI</t>
  </si>
  <si>
    <t>JSKHP</t>
  </si>
  <si>
    <t>Lady finger</t>
  </si>
  <si>
    <t>MEDI SRINIVAS REDDI</t>
  </si>
  <si>
    <t>VUTLA RAMESH</t>
  </si>
  <si>
    <t>D. NARAHARI</t>
  </si>
  <si>
    <t>Safety pin</t>
  </si>
  <si>
    <t>GOLLAPALLY SAYA GOUD</t>
  </si>
  <si>
    <t>DASARI BHANUCHANDER</t>
  </si>
  <si>
    <t>Wheel barrow</t>
  </si>
  <si>
    <t>DADIGE RAJENDAR</t>
  </si>
  <si>
    <t>Computer mouse</t>
  </si>
  <si>
    <t>C.H. NAVEEN KUMAR</t>
  </si>
  <si>
    <t>Wool and Needle</t>
  </si>
  <si>
    <t>KONDI ASHOK</t>
  </si>
  <si>
    <t>URELLI YELLAIAH</t>
  </si>
  <si>
    <t>VCK</t>
  </si>
  <si>
    <t>GONDHI BHUJANGAM</t>
  </si>
  <si>
    <t>Soap dish</t>
  </si>
  <si>
    <t>MOHD AZHER</t>
  </si>
  <si>
    <t>S RAJESH SAGAR</t>
  </si>
  <si>
    <t>KASOJU SRIKANTH</t>
  </si>
  <si>
    <t>Chain</t>
  </si>
  <si>
    <t>K. LAXMINARAYANA</t>
  </si>
  <si>
    <t>KOLKUR PRATAP</t>
  </si>
  <si>
    <t>GADILA ANJANEYULU</t>
  </si>
  <si>
    <t>GOUTI MALLESH</t>
  </si>
  <si>
    <t>Door bell</t>
  </si>
  <si>
    <t>K.RAGHU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</si>
  <si>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</si>
  <si>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</si>
  <si>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</si>
  <si>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</si>
  <si>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</si>
  <si>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</si>
  <si>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</si>
  <si>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BHARATHA SUDARSHAN</t>
  </si>
  <si>
    <t>APPARAO KONDA</t>
  </si>
  <si>
    <t>RSHTSMNYPP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</si>
  <si>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</si>
  <si>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</si>
  <si>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</si>
  <si>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</si>
  <si>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</si>
  <si>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</si>
  <si>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</si>
  <si>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</si>
  <si>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</si>
  <si>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</si>
  <si>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JBNP</t>
  </si>
  <si>
    <t>YADISHWAR NAKKA</t>
  </si>
  <si>
    <t>TRP</t>
  </si>
  <si>
    <t>R. SUBENDER SINGH</t>
  </si>
  <si>
    <t>G. KISHAN REDDY</t>
  </si>
  <si>
    <t>DANAM NAGENDER</t>
  </si>
  <si>
    <t>PADMA RAO . T</t>
  </si>
  <si>
    <t>70</t>
  </si>
  <si>
    <t>DR. BASWANANDAM DANDEPU</t>
  </si>
  <si>
    <t>SARARAPU SRISAILAM</t>
  </si>
  <si>
    <t>TLGNARJYS</t>
  </si>
  <si>
    <t>SAPAVAT SUMAN</t>
  </si>
  <si>
    <t>R.S.J. THOMAS</t>
  </si>
  <si>
    <t>RAASALA VINOD KUMAR</t>
  </si>
  <si>
    <t>KOLISETTY SHIVA KUMAR</t>
  </si>
  <si>
    <t>MACHCHERLA VENKATA REDDY</t>
  </si>
  <si>
    <t>MOHAMMED AKRAM ALI KHAN</t>
  </si>
  <si>
    <t>Petrol pump</t>
  </si>
  <si>
    <t>MOHAMMED RAFIUDDIN KALEEM</t>
  </si>
  <si>
    <t>AIMEIEM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</si>
  <si>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</si>
  <si>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</si>
  <si>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</si>
  <si>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</si>
  <si>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</si>
  <si>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</si>
  <si>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</si>
  <si>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KRANTHI KUMAR BANDELA</t>
  </si>
  <si>
    <t>INYJP</t>
  </si>
  <si>
    <t>DR. R. GANGADHAR</t>
  </si>
  <si>
    <t>UTTAM PRAVEEN KUMAR</t>
  </si>
  <si>
    <t>School bag</t>
  </si>
  <si>
    <t>GOWLIKAR SONY</t>
  </si>
  <si>
    <t>P C LINGANNA</t>
  </si>
  <si>
    <t>MOHAMMED IBRAHIM AHMED</t>
  </si>
  <si>
    <t>GANESH BHARGAVI GUNDE</t>
  </si>
  <si>
    <t>SANGALA FLORY</t>
  </si>
  <si>
    <t>V. K. VIJAYA LAKSHMI</t>
  </si>
  <si>
    <t>CHEEKATI BHUPAL GOUD</t>
  </si>
  <si>
    <t>75</t>
  </si>
  <si>
    <t>AIBPSP</t>
  </si>
  <si>
    <t>BOMMAKANTI SOWMYA</t>
  </si>
  <si>
    <t>KRUPAVARAM GANDU</t>
  </si>
  <si>
    <t>PAMPARI NARENDER</t>
  </si>
  <si>
    <t>Boat with man and sail</t>
  </si>
  <si>
    <t>B . SUNITHA RANI</t>
  </si>
  <si>
    <t>SYED KHADER</t>
  </si>
  <si>
    <t>Dish antenna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</si>
  <si>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</si>
  <si>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</si>
  <si>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</si>
  <si>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</si>
  <si>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</si>
  <si>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</si>
  <si>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</si>
  <si>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</si>
  <si>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</si>
  <si>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</si>
  <si>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</si>
  <si>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</si>
  <si>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</si>
  <si>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</si>
  <si>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SKJLP</t>
  </si>
  <si>
    <t>M.JOHNSON</t>
  </si>
  <si>
    <t>AIMEP</t>
  </si>
  <si>
    <t>JAMEEL SAYED</t>
  </si>
  <si>
    <t>ASHOK KUMAR MAMBA</t>
  </si>
  <si>
    <t>MTP</t>
  </si>
  <si>
    <t>DR.LUBNA SARWATH</t>
  </si>
  <si>
    <t>SARAF TULASI GUPTA</t>
  </si>
  <si>
    <t>PEP</t>
  </si>
  <si>
    <t>V.SHANKER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</si>
  <si>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</si>
  <si>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</si>
  <si>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</si>
  <si>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</si>
  <si>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</si>
  <si>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</si>
  <si>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</si>
  <si>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L.ASHOKNATH</t>
  </si>
  <si>
    <t>TPJRP</t>
  </si>
  <si>
    <t>Hockey and ball</t>
  </si>
  <si>
    <t>SALVERU RAMESH</t>
  </si>
  <si>
    <t>INDPJC</t>
  </si>
  <si>
    <t>J.SHYAMSUNDER RAO</t>
  </si>
  <si>
    <t>ANDE USHA KANNA</t>
  </si>
  <si>
    <t>SATTI SHABABU REDDY</t>
  </si>
  <si>
    <t>Drill machine</t>
  </si>
  <si>
    <t>ANIL SEN</t>
  </si>
  <si>
    <t>CHAITANYA KUMAR REDDY PELLAKURU</t>
  </si>
  <si>
    <t>SILIVERU NARESH</t>
  </si>
  <si>
    <t>TJP</t>
  </si>
  <si>
    <t>Chevella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</si>
  <si>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</si>
  <si>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</si>
  <si>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</si>
  <si>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</si>
  <si>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</si>
  <si>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</si>
  <si>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</si>
  <si>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RPC(S)</t>
  </si>
  <si>
    <t>SAHITHI DASARI</t>
  </si>
  <si>
    <t>RANJIT REDDY GADE</t>
  </si>
  <si>
    <t>RSP</t>
  </si>
  <si>
    <t>Spade &amp; stoker</t>
  </si>
  <si>
    <t>THOTLA RAGHAVENDER MUDIRAJ</t>
  </si>
  <si>
    <t>MOHD SHAKEEL</t>
  </si>
  <si>
    <t>DJHP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</si>
  <si>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</si>
  <si>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</si>
  <si>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</si>
  <si>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</si>
  <si>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</si>
  <si>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</si>
  <si>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</si>
  <si>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</si>
  <si>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V PANDU</t>
  </si>
  <si>
    <t>SANEM RAJU GOUD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</si>
  <si>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</si>
  <si>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</si>
  <si>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</si>
  <si>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</si>
  <si>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</si>
  <si>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</si>
  <si>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</si>
  <si>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</si>
  <si>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</si>
  <si>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</si>
  <si>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</si>
  <si>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</si>
  <si>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</si>
  <si>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</si>
  <si>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BLIP</t>
  </si>
  <si>
    <t>PALAMAKULA MADHU</t>
  </si>
  <si>
    <t>KAVALI SUKUMAR</t>
  </si>
  <si>
    <t>SERUBAI VASANTH KUMAR</t>
  </si>
  <si>
    <t>MOHAMMED MUSTAFA RIZWAN</t>
  </si>
  <si>
    <t>MOHAMMAD RIAZUR REHMAN SHAIK</t>
  </si>
  <si>
    <t>MOHAMMED ALI</t>
  </si>
  <si>
    <t>AMIR SAJID</t>
  </si>
  <si>
    <t>MOHAMMED AFSAR QUDOOS</t>
  </si>
  <si>
    <t>ARUNA. D. K</t>
  </si>
  <si>
    <t>VENKATESWARLU TALLADA</t>
  </si>
  <si>
    <t>KINNERA YADAGIRI</t>
  </si>
  <si>
    <t>Wall hook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</si>
  <si>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</si>
  <si>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</si>
  <si>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</si>
  <si>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</si>
  <si>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</si>
  <si>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</si>
  <si>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</si>
  <si>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</si>
  <si>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</si>
  <si>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</si>
  <si>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</si>
  <si>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</si>
  <si>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</si>
  <si>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Coconut farm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</si>
  <si>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</si>
  <si>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</si>
  <si>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</si>
  <si>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</si>
  <si>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</si>
  <si>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</si>
  <si>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</si>
  <si>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</si>
  <si>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</si>
  <si>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</si>
  <si>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</si>
  <si>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</si>
  <si>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</si>
  <si>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DR.MALLU RAVI</t>
  </si>
  <si>
    <t>73</t>
  </si>
  <si>
    <t>BHARATH PRASAD POTHUGANTI</t>
  </si>
  <si>
    <t>DR.R.S.PRAVEEN KUMAR</t>
  </si>
  <si>
    <t>AMBOJU RAVI</t>
  </si>
  <si>
    <t>BESAMOLLA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</si>
  <si>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</si>
  <si>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</si>
  <si>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</si>
  <si>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</si>
  <si>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</si>
  <si>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</si>
  <si>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</si>
  <si>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</si>
  <si>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</si>
  <si>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</si>
  <si>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PRASANGI</t>
  </si>
  <si>
    <t>VAGGU VINAY</t>
  </si>
  <si>
    <t>DASARI BHARATHI</t>
  </si>
  <si>
    <t>KUNDURU RAGHUVEER</t>
  </si>
  <si>
    <t>SAIDI REDDY SHANAMPUDI</t>
  </si>
  <si>
    <t>KANCHARLA KRISHNA REDDY</t>
  </si>
  <si>
    <t>ANJAIAH VIRIGINENI</t>
  </si>
  <si>
    <t>NAGARAJU BANDARU</t>
  </si>
  <si>
    <t>PANUGOTU LALASINGH</t>
  </si>
  <si>
    <t>THALARI RAMBABU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</si>
  <si>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</si>
  <si>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</si>
  <si>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</si>
  <si>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</si>
  <si>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</si>
  <si>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</si>
  <si>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</si>
  <si>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RACHA SUBHADRA REDDY</t>
  </si>
  <si>
    <t>74</t>
  </si>
  <si>
    <t>LINGAM KRISHNA</t>
  </si>
  <si>
    <t>KINNERA YADAIAH</t>
  </si>
  <si>
    <t>SHIRISHALA SRINAIAH</t>
  </si>
  <si>
    <t>Bhongir</t>
  </si>
  <si>
    <t>CHAMALA KIRAN KUMAR REDDY</t>
  </si>
  <si>
    <t>DR. BOORA NARSAIAH GOUD</t>
  </si>
  <si>
    <t>KYAMA MALLESH</t>
  </si>
  <si>
    <t>MAHAMD JAHANGIR</t>
  </si>
  <si>
    <t>CPI(M)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</si>
  <si>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</si>
  <si>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</si>
  <si>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</si>
  <si>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</si>
  <si>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</si>
  <si>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</si>
  <si>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TRPS</t>
  </si>
  <si>
    <t>NARENDRAA VEMULA</t>
  </si>
  <si>
    <t>KONGARI LINGA SWAMY</t>
  </si>
  <si>
    <t>TARIGOPPULA MAHENDER</t>
  </si>
  <si>
    <t>KARINGULA YADAGIRI</t>
  </si>
  <si>
    <t>BETHI NARENDER</t>
  </si>
  <si>
    <t>M. GANESH</t>
  </si>
  <si>
    <t>MALLEBOINA PARAMESH YADAV</t>
  </si>
  <si>
    <t>LINGIDI. VENKATESWARLU</t>
  </si>
  <si>
    <t>PRJVNIP</t>
  </si>
  <si>
    <t>V. SADANANDA REDDY</t>
  </si>
  <si>
    <t>PEOPRTCP</t>
  </si>
  <si>
    <t>Brief case</t>
  </si>
  <si>
    <t>DHERAVATH GOPI NAIK</t>
  </si>
  <si>
    <t>JMBP</t>
  </si>
  <si>
    <t>PENTA RAMESH</t>
  </si>
  <si>
    <t>VARIKUPPALA. KRISHNA VADDERA</t>
  </si>
  <si>
    <t>BASHABOINA LAKSHMAIAH</t>
  </si>
  <si>
    <t>NUNE VENKAT SWAMY</t>
  </si>
  <si>
    <t>Plastering trowel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</si>
  <si>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</si>
  <si>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</si>
  <si>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</si>
  <si>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</si>
  <si>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</si>
  <si>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</si>
  <si>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</si>
  <si>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NMSP</t>
  </si>
  <si>
    <t>AMIREDDY KIRAN REDDY</t>
  </si>
  <si>
    <t>CHANDU NAYAK MEGAVATH</t>
  </si>
  <si>
    <t>KADIRE KIRAN KUMAR</t>
  </si>
  <si>
    <t>BARESP</t>
  </si>
  <si>
    <t>KARUNAKAR REDDY NALLA</t>
  </si>
  <si>
    <t>KANDADI. MANIPAL REDDY</t>
  </si>
  <si>
    <t>UDARI MALLESH</t>
  </si>
  <si>
    <t>ANIL KUMAR GADEPAKA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</si>
  <si>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</si>
  <si>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</si>
  <si>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</si>
  <si>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</si>
  <si>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</si>
  <si>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</si>
  <si>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MEKALA SUMAN</t>
  </si>
  <si>
    <t>AR NENA PREM READY RIPEEKA</t>
  </si>
  <si>
    <t>MTRSP</t>
  </si>
  <si>
    <t>KOYYADA NARESH</t>
  </si>
  <si>
    <t>PRAMEELA JANNU</t>
  </si>
  <si>
    <t>BARIGELA SHIVA</t>
  </si>
  <si>
    <t>S P K SAGAR</t>
  </si>
  <si>
    <t>PASULA RAVI</t>
  </si>
  <si>
    <t>RPPRINAT</t>
  </si>
  <si>
    <t>DEVARAJU PENDELA</t>
  </si>
  <si>
    <t>POTHARAJU NARASIMHARAJU</t>
  </si>
  <si>
    <t>BOLLAM VIJAY KUMAR</t>
  </si>
  <si>
    <t>MACHA DEVENDER</t>
  </si>
  <si>
    <t>NARMADA PRAVEEN</t>
  </si>
  <si>
    <t>ROOPA POLEPAKA</t>
  </si>
  <si>
    <t>DHAYAKAR GAJJI</t>
  </si>
  <si>
    <t>POGULA ASHOK</t>
  </si>
  <si>
    <t>Football player</t>
  </si>
  <si>
    <t>THANDRA ESHWAR</t>
  </si>
  <si>
    <t>MANDA NARESH</t>
  </si>
  <si>
    <t>KOTHAPALLI SAVITHRI</t>
  </si>
  <si>
    <t>BOCHU RAJU</t>
  </si>
  <si>
    <t>PUTTA VINOD KUMAR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</si>
  <si>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</si>
  <si>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</si>
  <si>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</si>
  <si>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</si>
  <si>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</si>
  <si>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</si>
  <si>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</si>
  <si>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</si>
  <si>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</si>
  <si>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</si>
  <si>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</si>
  <si>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Letter box</t>
  </si>
  <si>
    <t>THATIKAYALA SATHISH BABU</t>
  </si>
  <si>
    <t>CHILUMULLA SUJATHA</t>
  </si>
  <si>
    <t>Mahabubabad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</si>
  <si>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</si>
  <si>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</si>
  <si>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</si>
  <si>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</si>
  <si>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</si>
  <si>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</si>
  <si>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</si>
  <si>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</si>
  <si>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</si>
  <si>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</si>
  <si>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</si>
  <si>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GGP</t>
  </si>
  <si>
    <t>BANOTH PREM NAYAK [BPN]</t>
  </si>
  <si>
    <t>PAYAM.SINGARAJU</t>
  </si>
  <si>
    <t>PADIGA YARRAIAH</t>
  </si>
  <si>
    <t>80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</si>
  <si>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</si>
  <si>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</si>
  <si>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</si>
  <si>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</si>
  <si>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</si>
  <si>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</si>
  <si>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</si>
  <si>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</si>
  <si>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</si>
  <si>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Khammam</t>
  </si>
  <si>
    <t>RAMASAHAYAM RAGHURAM REDDY</t>
  </si>
  <si>
    <t>NAMA NAGESWARA RAO</t>
  </si>
  <si>
    <t>VINOD RAO TANDRA</t>
  </si>
  <si>
    <t>VASAM RAMAKRISHNA DORA</t>
  </si>
  <si>
    <t>ADVOCATE YERRA KAAMESH</t>
  </si>
  <si>
    <t>ULLENGALA YADAGIRI</t>
  </si>
  <si>
    <t>KUKKALA NAGAIAH</t>
  </si>
  <si>
    <t>KATUKOJWALA NAGESWAR RAO</t>
  </si>
  <si>
    <t>CHILAKABATHINI STALIN</t>
  </si>
  <si>
    <t>SHAIK BAJI BABA</t>
  </si>
  <si>
    <t>KASIMALLA NAGESWARA RAO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</si>
  <si>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</si>
  <si>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</si>
  <si>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</si>
  <si>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</si>
  <si>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</si>
  <si>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</si>
  <si>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JRBP</t>
  </si>
  <si>
    <t>MADDISETTY YERRAPPA @ AJAY</t>
  </si>
  <si>
    <t>SHAIK MOHMED RASOOL</t>
  </si>
  <si>
    <t>LINGALA RAVI KUMAR</t>
  </si>
  <si>
    <t>Lunch box</t>
  </si>
  <si>
    <t>TEJAVATH JOGRAM NAIK</t>
  </si>
  <si>
    <t>ANWAR RAICE</t>
  </si>
  <si>
    <t>ANANDA PRASAD KASINA</t>
  </si>
  <si>
    <t>LINGAIAH DANDA</t>
  </si>
  <si>
    <t>78</t>
  </si>
  <si>
    <t>PAPETLA RAMAMURTHY</t>
  </si>
  <si>
    <t>ANTHONI SURESH</t>
  </si>
  <si>
    <t>M. RAVI CHANDAR CHOWHAN</t>
  </si>
  <si>
    <t>THAMBALLA RAVI</t>
  </si>
  <si>
    <t>BHATTU SRINIVAS</t>
  </si>
  <si>
    <t>MALAMPATI SURYANARAYANA</t>
  </si>
  <si>
    <t>Diesel pump</t>
  </si>
  <si>
    <t>Sr.No</t>
  </si>
  <si>
    <t>BJP Margin Votes 2019</t>
  </si>
  <si>
    <t>BJP Margin Percentage 2019</t>
  </si>
  <si>
    <t>Average Margin Votes</t>
  </si>
  <si>
    <t>Average Margin Percentage</t>
  </si>
  <si>
    <t xml:space="preserve">Seat Grade </t>
  </si>
  <si>
    <t>BJP Vote Margin</t>
  </si>
  <si>
    <t>BJP Margin Percentage</t>
  </si>
  <si>
    <t>BJP Margin Votes 2024</t>
  </si>
  <si>
    <t>BJP Margin Percentage 2024</t>
  </si>
  <si>
    <t>BJP Margin Votes</t>
  </si>
  <si>
    <t/>
  </si>
  <si>
    <t xml:space="preserve">BJP Share 2019 </t>
  </si>
  <si>
    <t>BJP Share 2024</t>
  </si>
  <si>
    <t>Voter TurnOut 2024</t>
  </si>
  <si>
    <t>Voter TurnOut 2019</t>
  </si>
  <si>
    <t>Turn out swing</t>
  </si>
  <si>
    <t>BJP vote share Swing</t>
  </si>
  <si>
    <t>Ratio</t>
  </si>
  <si>
    <t>BJP Status 2024</t>
  </si>
  <si>
    <t>Candidate 2019</t>
  </si>
  <si>
    <t>Candidate 2024</t>
  </si>
  <si>
    <t>Status 2019</t>
  </si>
  <si>
    <t>BJP Votes Share 2019</t>
  </si>
  <si>
    <t>Srinivas Gomase</t>
  </si>
  <si>
    <t>Bandi Sanjay Kumar</t>
  </si>
  <si>
    <t>Arvind Dharmapuri</t>
  </si>
  <si>
    <t>B. B. Patil</t>
  </si>
  <si>
    <t>Madhavaneni Raghunandan Rao</t>
  </si>
  <si>
    <t>Eatala Rajender</t>
  </si>
  <si>
    <t>G. Kishan Reddy</t>
  </si>
  <si>
    <t>Madhavi Latha Kompella</t>
  </si>
  <si>
    <t>Aruna. D. K</t>
  </si>
  <si>
    <t>Bharath Prasad Pothuganti</t>
  </si>
  <si>
    <t>Saidi Reddy Shanampudi</t>
  </si>
  <si>
    <t>Aroori Ramesh</t>
  </si>
  <si>
    <t>Professor. Azmeera Seetaram Naik</t>
  </si>
  <si>
    <t>Vinod Rao Tandra</t>
  </si>
  <si>
    <t>Soyam Bapu Rao</t>
  </si>
  <si>
    <t>Banala Laxma Reddy</t>
  </si>
  <si>
    <t>Ramchander Rao Naraparaju</t>
  </si>
  <si>
    <t>Dr. Bhagavanth Rao</t>
  </si>
  <si>
    <t>Aruna D.K</t>
  </si>
  <si>
    <t>Shruthi Bangaru Alias Bangaru Shruthi</t>
  </si>
  <si>
    <t>Garlapati Jithendra Kumar</t>
  </si>
  <si>
    <t>Chintha Sambamurthy</t>
  </si>
  <si>
    <t>Devaki Vasudeva Rao</t>
  </si>
  <si>
    <t>Conversion Rate</t>
  </si>
  <si>
    <t xml:space="preserve">Swing Seat Analysis </t>
  </si>
  <si>
    <t>Bjp_Hold</t>
  </si>
  <si>
    <t xml:space="preserve">Candidate Rating </t>
  </si>
  <si>
    <t>Seat Type</t>
  </si>
  <si>
    <t>Turn Out Factor</t>
  </si>
  <si>
    <t>Decision</t>
  </si>
  <si>
    <t>Bjp Presence</t>
  </si>
  <si>
    <t>BJP Votes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</si>
</sst>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Font="1" applyFill="1" applyBorder="1"/>
    <xf numFmtId="0" fontId="0" fillId="0" borderId="1" xfId="0" applyFont="1" applyBorder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48">
    <dxf>
      <numFmt numFmtId="0" formatCode="General"/>
    </dxf>
    <dxf>
      <fill>
        <patternFill patternType="darkUp">
          <fgColor auto="1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4" formatCode="0.0%"/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7D66E4D-4DD4-4EF1-96AD-5683CD113A3D}" autoFormatId="16" applyNumberFormats="0" applyBorderFormats="0" applyFontFormats="0" applyPatternFormats="0" applyAlignmentFormats="0" applyWidthHeightFormats="0">
  <queryTableRefresh nextId="25">
    <queryTableFields count="22">
      <queryTableField id="1" name="Year " tableColumnId="1"/>
      <queryTableField id="2" name="State Name" tableColumnId="2"/>
      <queryTableField id="24" dataBound="0" tableColumnId="24"/>
      <queryTableField id="4" name="Candidate Name" tableColumnId="4"/>
      <queryTableField id="5" name="Gender" tableColumnId="5"/>
      <queryTableField id="6" name="Age" tableColumnId="6"/>
      <queryTableField id="7" name="Category" tableColumnId="7"/>
      <queryTableField id="8" name="Party Name" tableColumnId="8"/>
      <queryTableField id="9" name="Party Symbol" tableColumnId="9"/>
      <queryTableField id="10" name="Total Votes Polled In_x000a_The Constituency" tableColumnId="10"/>
      <queryTableField id="11" name="Valid Votes" tableColumnId="11"/>
      <queryTableField id="12" name="Votes Polled Per Party" tableColumnId="12"/>
      <queryTableField id="13" name="Party Vote Share Percentage" tableColumnId="13"/>
      <queryTableField id="14" name="Max Votes Other Than BJP" tableColumnId="14"/>
      <queryTableField id="15" name="Max Vote share other than bjp " tableColumnId="15"/>
      <queryTableField id="16" name="BJP votes" tableColumnId="16"/>
      <queryTableField id="17" name="BJP vote share" tableColumnId="17"/>
      <queryTableField id="22" dataBound="0" tableColumnId="22"/>
      <queryTableField id="21" dataBound="0" tableColumnId="21"/>
      <queryTableField id="18" name="Total Electors" tableColumnId="18"/>
      <queryTableField id="19" name="Voter Turnout " tableColumnId="19"/>
      <queryTableField id="20" name="BJP STATUS" tableColumnId="20"/>
    </queryTableFields>
    <queryTableDeletedFields count="1">
      <deletedField name="PC 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7D7891-810E-4FF7-8DB2-0B86F869737E}" autoFormatId="16" applyNumberFormats="0" applyBorderFormats="0" applyFontFormats="0" applyPatternFormats="0" applyAlignmentFormats="0" applyWidthHeightFormats="0">
  <queryTableRefresh nextId="23">
    <queryTableFields count="21">
      <queryTableField id="1" name="Year" tableColumnId="1"/>
      <queryTableField id="2" name=" State Name " tableColumnId="2"/>
      <queryTableField id="22" dataBound="0" tableColumnId="22"/>
      <queryTableField id="4" name=" CANDIDATES NAME " tableColumnId="4"/>
      <queryTableField id="5" name=" SEX " tableColumnId="5"/>
      <queryTableField id="6" name=" AGE " tableColumnId="6"/>
      <queryTableField id="7" name=" CATEGORY " tableColumnId="7"/>
      <queryTableField id="8" name=" PARTY NAME " tableColumnId="8"/>
      <queryTableField id="9" name=" PARTY SYMBOL " tableColumnId="9"/>
      <queryTableField id="10" name=" Votes Polled Per Party" tableColumnId="10"/>
      <queryTableField id="11" name=" Party Vote Share" tableColumnId="11"/>
      <queryTableField id="12" name="Max Votes Share other than BJP" tableColumnId="12"/>
      <queryTableField id="13" name="Max Votes Other than BJP" tableColumnId="13"/>
      <queryTableField id="14" name="BJP Votes" tableColumnId="14"/>
      <queryTableField id="15" name="BJP Vote Share" tableColumnId="15"/>
      <queryTableField id="20" dataBound="0" tableColumnId="20"/>
      <queryTableField id="21" dataBound="0" tableColumnId="21"/>
      <queryTableField id="16" name="Total Votes Polled" tableColumnId="16"/>
      <queryTableField id="17" name="Total Electors" tableColumnId="17"/>
      <queryTableField id="18" name="Voter Turnout" tableColumnId="18"/>
      <queryTableField id="19" name="BJP_STATUS" tableColumnId="19"/>
    </queryTableFields>
    <queryTableDeletedFields count="1">
      <deletedField name=" PC NAME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00A92-FB8C-4DC1-A782-8060D9F5E85D}" name="Telengana_Results_2024" displayName="Telengana_Results_2024" ref="A1:V544" tableType="queryTable" totalsRowShown="0">
  <tableColumns count="22">
    <tableColumn id="1" xr3:uid="{5E2D6B56-760D-48C8-9F75-FF26C9081169}" uniqueName="1" name="Year " queryTableFieldId="1"/>
    <tableColumn id="2" xr3:uid="{01143C82-D61F-4AD0-A3E6-0512B99B7948}" uniqueName="2" name="State Name" queryTableFieldId="2" dataDxfId="39"/>
    <tableColumn id="24" xr3:uid="{4E9F44E8-2612-4877-BF27-C91DE719D37C}" uniqueName="24" name="PC Name" queryTableFieldId="24" dataDxfId="19"/>
    <tableColumn id="4" xr3:uid="{62A87F4D-AB7D-4B2D-A44D-CA59BF2FB83C}" uniqueName="4" name="Candidate Name" queryTableFieldId="4" dataDxfId="38"/>
    <tableColumn id="5" xr3:uid="{AD72EB73-1582-4771-8F32-1F3839CE2225}" uniqueName="5" name="Gender" queryTableFieldId="5" dataDxfId="37"/>
    <tableColumn id="6" xr3:uid="{2B5DC4FB-962D-435E-974E-9C8F679DC317}" uniqueName="6" name="Age" queryTableFieldId="6" dataDxfId="36"/>
    <tableColumn id="7" xr3:uid="{D580C269-6A92-4336-8F52-19AA48B2EE97}" uniqueName="7" name="Category" queryTableFieldId="7" dataDxfId="35"/>
    <tableColumn id="8" xr3:uid="{A2747609-C357-40C6-8294-2A330E2BD3D1}" uniqueName="8" name="Party Name" queryTableFieldId="8" dataDxfId="34"/>
    <tableColumn id="9" xr3:uid="{9EA1A220-B901-4F1A-B360-385510382ACC}" uniqueName="9" name="Party Symbol" queryTableFieldId="9" dataDxfId="33"/>
    <tableColumn id="10" xr3:uid="{0F928917-848D-462C-8719-B0FBCB484578}" uniqueName="10" name="Total Votes Polled In_x000a_The Constituency" queryTableFieldId="10"/>
    <tableColumn id="11" xr3:uid="{4FB75626-D6F8-4174-B9EA-686D0446E5C9}" uniqueName="11" name="Valid Votes" queryTableFieldId="11"/>
    <tableColumn id="12" xr3:uid="{03BD0BA5-C258-4FAF-A9CD-03E5B7FA51C2}" uniqueName="12" name="Votes Polled Per Party" queryTableFieldId="12"/>
    <tableColumn id="13" xr3:uid="{6C301057-FF6E-47E3-8C29-5BCB54B3A443}" uniqueName="13" name="Party Vote Share Percentage" queryTableFieldId="13" dataDxfId="25" dataCellStyle="Percent"/>
    <tableColumn id="14" xr3:uid="{5E82A868-8AA7-4C18-9BEE-C434934D2FAB}" uniqueName="14" name="Max Votes Other Than BJP" queryTableFieldId="14"/>
    <tableColumn id="15" xr3:uid="{F396F4E9-F523-4C2E-B7D7-9F039A629324}" uniqueName="15" name="Max Vote share other than bjp " queryTableFieldId="15" dataDxfId="26" dataCellStyle="Percent"/>
    <tableColumn id="16" xr3:uid="{9D02B918-DFB2-49D1-8696-13F6D0DA775A}" uniqueName="16" name="BJP votes" queryTableFieldId="16"/>
    <tableColumn id="17" xr3:uid="{4065D176-DEDD-490F-915E-51B840ECCC5C}" uniqueName="17" name="BJP vote share" queryTableFieldId="17" dataDxfId="21" dataCellStyle="Percent"/>
    <tableColumn id="22" xr3:uid="{81BD588F-527A-4091-91F5-6C89850A245A}" uniqueName="22" name="BJP Margin Votes" queryTableFieldId="22" dataDxfId="22">
      <calculatedColumnFormula>Telengana_Results_2024[[#This Row],[BJP votes]]-Telengana_Results_2024[[#This Row],[Max Votes Other Than BJP]]</calculatedColumnFormula>
    </tableColumn>
    <tableColumn id="21" xr3:uid="{C2E36C5A-DD2F-40B2-83B3-0F9CF9E60678}" uniqueName="21" name="BJP Margin Percentage" queryTableFieldId="21" dataDxfId="27">
      <calculatedColumnFormula>Telengana_Results_2024[[#This Row],[BJP vote share]]-Telengana_Results_2024[[#This Row],[Max Vote share other than bjp ]]</calculatedColumnFormula>
    </tableColumn>
    <tableColumn id="18" xr3:uid="{B8BEDF60-0095-4AD2-B30F-17EA40614FD5}" uniqueName="18" name="Total Electors" queryTableFieldId="18"/>
    <tableColumn id="19" xr3:uid="{8CC6BBCF-D9B7-4F50-A17B-1446872748DB}" uniqueName="19" name="Voter Turnout " queryTableFieldId="19" dataDxfId="24" dataCellStyle="Percent"/>
    <tableColumn id="20" xr3:uid="{8CE2296C-447D-4B88-A4C5-8BED171C4705}" uniqueName="20" name="BJP STATUS" queryTableFieldId="20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758AA-0141-48EB-824A-E665C8A3CE9A}" name="Telengana_Reaults_2019" displayName="Telengana_Reaults_2019" ref="A1:U461" tableType="queryTable" totalsRowShown="0">
  <autoFilter ref="A1:U461" xr:uid="{9B2758AA-0141-48EB-824A-E665C8A3CE9A}"/>
  <tableColumns count="21">
    <tableColumn id="1" xr3:uid="{1EFEADB6-CD3B-4471-A0A6-7B58B4BCBD0D}" uniqueName="1" name="Year" queryTableFieldId="1" dataDxfId="47"/>
    <tableColumn id="2" xr3:uid="{96C158E2-5E7B-4C46-94F6-AA094DCE3992}" uniqueName="2" name=" State Name " queryTableFieldId="2" dataDxfId="46"/>
    <tableColumn id="22" xr3:uid="{E6A4B2BB-4878-4F7E-B8CB-8C28D4622A7D}" uniqueName="22" name="PC Name" queryTableFieldId="22" dataDxfId="20"/>
    <tableColumn id="4" xr3:uid="{C356D214-0EA6-442E-A8FB-B793D6B27B12}" uniqueName="4" name=" CANDIDATES NAME " queryTableFieldId="4" dataDxfId="45"/>
    <tableColumn id="5" xr3:uid="{FCA7FFB9-75A8-4862-A674-19694C410B7D}" uniqueName="5" name=" SEX " queryTableFieldId="5" dataDxfId="44"/>
    <tableColumn id="6" xr3:uid="{E7F7418A-E54E-408D-8027-AA582FF0EEBA}" uniqueName="6" name=" AGE " queryTableFieldId="6" dataDxfId="43"/>
    <tableColumn id="7" xr3:uid="{59BF0F6E-00D1-47A2-A0B4-E2B724E9C467}" uniqueName="7" name=" CATEGORY " queryTableFieldId="7" dataDxfId="42"/>
    <tableColumn id="8" xr3:uid="{0B1C209E-44C4-40AB-BC5D-0D97D53EF94B}" uniqueName="8" name=" PARTY NAME " queryTableFieldId="8" dataDxfId="41"/>
    <tableColumn id="9" xr3:uid="{BCCA368A-E6F7-4370-AC01-8970D582C405}" uniqueName="9" name=" PARTY SYMBOL " queryTableFieldId="9" dataDxfId="40"/>
    <tableColumn id="10" xr3:uid="{474FB3DE-5DEF-49D2-AB55-9E8E058DD563}" uniqueName="10" name=" Votes Polled Per Party" queryTableFieldId="10"/>
    <tableColumn id="11" xr3:uid="{E1394B5D-5932-455A-9679-43B5F41DAB31}" uniqueName="11" name=" Party Vote Share" queryTableFieldId="11" dataDxfId="12" dataCellStyle="Percent"/>
    <tableColumn id="12" xr3:uid="{09ED62EF-534A-4A55-9586-3AD6D65FC384}" uniqueName="12" name="Max Votes Share other than BJP" queryTableFieldId="12" dataDxfId="13" dataCellStyle="Percent"/>
    <tableColumn id="13" xr3:uid="{62D7C035-C76F-42AF-950C-D0D19C76E669}" uniqueName="13" name="Max Votes Other than BJP" queryTableFieldId="13"/>
    <tableColumn id="14" xr3:uid="{685AB749-04B0-4B40-8658-903BE69014BB}" uniqueName="14" name="BJP Votes" queryTableFieldId="14"/>
    <tableColumn id="15" xr3:uid="{C2615C49-9797-416F-BD68-6D7F6559CE7A}" uniqueName="15" name="BJP Vote Share" queryTableFieldId="15" dataDxfId="30" dataCellStyle="Percent"/>
    <tableColumn id="20" xr3:uid="{C14F51A6-6F08-401C-BDF9-9753A6523DFA}" uniqueName="20" name="BJP Vote Margin" queryTableFieldId="20" dataDxfId="29" dataCellStyle="Percent">
      <calculatedColumnFormula>Telengana_Reaults_2019[[#This Row],[BJP Votes]]-Telengana_Reaults_2019[[#This Row],[Max Votes Other than BJP]]</calculatedColumnFormula>
    </tableColumn>
    <tableColumn id="21" xr3:uid="{7999BD3E-9EA8-45A9-A1A2-90E4FB757517}" uniqueName="21" name="BJP Margin Percentage" queryTableFieldId="21" dataDxfId="28" dataCellStyle="Percent">
      <calculatedColumnFormula>Telengana_Reaults_2019[[#This Row],[BJP Vote Share]]-Telengana_Reaults_2019[[#This Row],[Max Votes Share other than BJP]]</calculatedColumnFormula>
    </tableColumn>
    <tableColumn id="16" xr3:uid="{6662FF32-3460-48CE-9800-F1FC40251C93}" uniqueName="16" name="Total Votes Polled" queryTableFieldId="16"/>
    <tableColumn id="17" xr3:uid="{06387963-13D7-4E53-B09A-98250A08623A}" uniqueName="17" name="Total Electors" queryTableFieldId="17"/>
    <tableColumn id="18" xr3:uid="{41A203D3-72DF-44DB-B149-CCE6640E70A9}" uniqueName="18" name="Voter Turnout" queryTableFieldId="18" dataDxfId="31"/>
    <tableColumn id="19" xr3:uid="{4331BDEC-BCCA-4F41-A021-64C9576F8EFA}" uniqueName="19" name="BJP_STATUS" queryTableFieldId="19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F042C5-5662-4435-86DA-6D430D9B5E30}" name="Table3" displayName="Table3" ref="A1:I18" totalsRowShown="0">
  <autoFilter ref="A1:I18" xr:uid="{BDF042C5-5662-4435-86DA-6D430D9B5E30}"/>
  <tableColumns count="9">
    <tableColumn id="1" xr3:uid="{B03DFE58-8444-462C-947E-38D8AC195E75}" name="Sr.No"/>
    <tableColumn id="2" xr3:uid="{36F23783-59F8-4BE0-9FC9-B18DF67A1F7E}" name="PC Name"/>
    <tableColumn id="4" xr3:uid="{6BEE2EA9-219B-4CE5-86FD-E426382C01B7}" name="BJP Margin Votes 2019"/>
    <tableColumn id="5" xr3:uid="{50F36F06-A2BD-4C17-9EBD-F314281867F1}" name="BJP Margin Percentage 2019"/>
    <tableColumn id="6" xr3:uid="{B68826DE-4304-4867-BF67-A75F3F475FE8}" name="BJP Margin Votes 2024" dataDxfId="18">
      <calculatedColumnFormula>VLOOKUP(Table3[[#This Row],[PC Name]],Telengana_Results_2024[[PC Name]:[BJP STATUS]],16,FALSE)</calculatedColumnFormula>
    </tableColumn>
    <tableColumn id="7" xr3:uid="{1F8C6132-8041-46B4-A8A6-BF400580CDA3}" name="BJP Margin Percentage 2024" dataDxfId="17" dataCellStyle="Percent">
      <calculatedColumnFormula>VLOOKUP(Table3[[#This Row],[PC Name]],Telengana_Results_2024[[PC Name]:[BJP STATUS]],17,FALSE)</calculatedColumnFormula>
    </tableColumn>
    <tableColumn id="8" xr3:uid="{6E580077-8925-4770-9A65-E13419D5E955}" name="Average Margin Votes" dataDxfId="16">
      <calculatedColumnFormula>(Table3[[#This Row],[BJP Margin Votes 2024]]+Table3[[#This Row],[BJP Margin Votes 2019]])/2</calculatedColumnFormula>
    </tableColumn>
    <tableColumn id="9" xr3:uid="{B28AFDF8-C5D6-4B17-A65F-7F755C2AEABD}" name="Average Margin Percentage" dataDxfId="15" dataCellStyle="Percent">
      <calculatedColumnFormula>(Table3[[#This Row],[BJP Margin Percentage 2024]]+Table3[[#This Row],[BJP Margin Percentage 2019]])/2</calculatedColumnFormula>
    </tableColumn>
    <tableColumn id="10" xr3:uid="{28890693-3528-4C01-B3E3-4AD36E6ED7C0}" name="Seat Grade " dataDxfId="14">
      <calculatedColumnFormula>_xlfn.IFS(H2&gt;=0.1,"Strong Hold", H2&gt;=0.05,"Average Hold", H2&gt;=-0.05,"Weak Hold", TRUE, "Very Vulnerable Hold")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0988B-2519-4135-8A23-3B87335D7524}" name="Table4" displayName="Table4" ref="A1:J18" totalsRowShown="0">
  <autoFilter ref="A1:J18" xr:uid="{A230988B-2519-4135-8A23-3B87335D7524}"/>
  <tableColumns count="10">
    <tableColumn id="1" xr3:uid="{F4116CDA-C4F8-483B-A418-4DB16221A245}" name="Sr.No"/>
    <tableColumn id="2" xr3:uid="{579761E4-5C3F-4C03-8357-6059D651DA40}" name="PC Name"/>
    <tableColumn id="3" xr3:uid="{D1CDEA29-37F3-4B56-A7E7-F07788795BE3}" name="BJP Share 2019 " dataDxfId="11" dataCellStyle="Percent">
      <calculatedColumnFormula>VLOOKUP(B2,Telengana_Reaults_2019[[#All],[PC Name]:[BJP_STATUS]],13,FALSE)</calculatedColumnFormula>
    </tableColumn>
    <tableColumn id="4" xr3:uid="{B3447A85-3309-4667-A5BF-996891AB74AE}" name="Voter TurnOut 2019" dataDxfId="10" dataCellStyle="Percent">
      <calculatedColumnFormula>VLOOKUP(B2,Telengana_Reaults_2019[[#All],[PC Name]:[BJP_STATUS]], 18,FALSE)</calculatedColumnFormula>
    </tableColumn>
    <tableColumn id="5" xr3:uid="{5F191BBC-85A8-4A74-8386-173017D5CBD8}" name="BJP Share 2024" dataDxfId="9" dataCellStyle="Percent">
      <calculatedColumnFormula>VLOOKUP(B2,Telengana_Results_2024[[#All],[PC Name]:[BJP vote share]],15,FALSE)</calculatedColumnFormula>
    </tableColumn>
    <tableColumn id="6" xr3:uid="{C29CBF0A-94C0-4143-A8B1-37B8DCC4CB61}" name="Voter TurnOut 2024" dataDxfId="8" dataCellStyle="Percent">
      <calculatedColumnFormula>VLOOKUP(B2,Telengana_Results_2024[[#All],[PC Name]:[BJP STATUS]],19,FALSE)</calculatedColumnFormula>
    </tableColumn>
    <tableColumn id="7" xr3:uid="{D7C2DF00-B807-4344-BEBE-B536A0D8FE22}" name="BJP vote share Swing" dataDxfId="7">
      <calculatedColumnFormula>E2-C2</calculatedColumnFormula>
    </tableColumn>
    <tableColumn id="8" xr3:uid="{769C5C18-A746-4A31-B591-A4FA9D70E97C}" name="Turn out swing" dataDxfId="6" dataCellStyle="Percent">
      <calculatedColumnFormula>F2-D2</calculatedColumnFormula>
    </tableColumn>
    <tableColumn id="9" xr3:uid="{B206FC47-0858-4957-A694-9B9DEE1C6DCC}" name="Ratio" dataDxfId="5">
      <calculatedColumnFormula>G2/H2</calculatedColumnFormula>
    </tableColumn>
    <tableColumn id="10" xr3:uid="{815F6B29-B1E0-4BB5-A9AD-2D93BF55A13D}" name="Conversion Rate">
      <calculatedColumnFormula>_xlfn.IFS(I2&gt;5,"High Conversion- Mobilize Voters", I2&gt;=3,"Moderate Conversion- Make the existing Base Stronger", TRUE,"Low Conversion- Can be ignored")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71C85B-022D-4594-923A-E8F5B28A1DA5}" name="Table5" displayName="Table5" ref="B1:J18" totalsRowShown="0">
  <autoFilter ref="B1:J18" xr:uid="{5271C85B-022D-4594-923A-E8F5B28A1DA5}"/>
  <tableColumns count="9">
    <tableColumn id="1" xr3:uid="{B9C4E4BD-479D-4661-991B-9D30B4563591}" name="PC Name"/>
    <tableColumn id="2" xr3:uid="{140A38E7-894D-48BC-88D1-4301A97D34E0}" name="Status 2019">
      <calculatedColumnFormula>VLOOKUP(B2,Telengana_Reaults_2019[[#All],[PC Name]:[BJP_STATUS]],19,FALSE)</calculatedColumnFormula>
    </tableColumn>
    <tableColumn id="3" xr3:uid="{D2780EAD-FFD2-4B96-A734-D35A802AB272}" name="Candidate 2019"/>
    <tableColumn id="4" xr3:uid="{FD3882A7-902F-47F3-A3B9-35AC235649D8}" name="BJP Votes Share 2019" dataDxfId="4" dataCellStyle="Percent">
      <calculatedColumnFormula>VLOOKUP('SeatAnalysis&amp;CandidateRating'!B2,Telengana_Reaults_2019[[#All],[PC Name]:[BJP_STATUS]],13,FALSE)</calculatedColumnFormula>
    </tableColumn>
    <tableColumn id="5" xr3:uid="{36099370-605E-4FCB-A16B-5A6EEAE1B664}" name="BJP Status 2024">
      <calculatedColumnFormula>VLOOKUP(B2,Telengana_Results_2024[[#All],[PC Name]:[BJP STATUS]],20,FALSE)</calculatedColumnFormula>
    </tableColumn>
    <tableColumn id="6" xr3:uid="{F743347B-6C34-42D2-9F96-4C158E9B5FEA}" name="Candidate 2024"/>
    <tableColumn id="7" xr3:uid="{A42145F6-2AD6-4DF5-82F3-81C9BAAB2B0B}" name="BJP Votes 2024" dataDxfId="3" dataCellStyle="Percent">
      <calculatedColumnFormula>VLOOKUP('SeatAnalysis&amp;CandidateRating'!B2,Telengana_Results_2024[[#All],[PC Name]:[BJP STATUS]],15,FALSE)</calculatedColumnFormula>
    </tableColumn>
    <tableColumn id="8" xr3:uid="{62702C48-EFAE-4ACF-A8DD-ABB8E596C285}" name="Bjp Presence">
      <calculatedColumnFormula>_xlfn.IFS(AND(D2=G2,C2="BJP WON",F2="BJP WON"), "Strong Candidate Face", AND(D2&lt;&gt;G2,C2="BJP WON", F2="BJP WON"), "Strong Party Presence",  AND(D2&lt;&gt;G2,H2&gt;E2), "Pontential Candidate - Retain", TRUE, "Need Change")</calculatedColumnFormula>
    </tableColumn>
    <tableColumn id="9" xr3:uid="{F739D808-EB4E-4B62-9047-FA396A820BB3}" name="Swing Seat Analysis " dataDxfId="2">
      <calculatedColumnFormula>_xlfn.IFS(AND(Table5[[#This Row],[Status 2019]]="BJP WON",Table5[[#This Row],[BJP Status 2024]]="BJP WON"), "Strong Seat", AND(Table5[[#This Row],[Status 2019]]&lt;&gt;"BJP WON", Table5[[#This Row],[BJP Status 2024]]&lt;&gt;"BJP WON" ),"Weak Seat", TRUE, "Swing Seat")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8FA911-E14F-4FDF-B28B-9CB7B2702B70}" name="Table6" displayName="Table6" ref="A1:A18" totalsRowShown="0">
  <autoFilter ref="A1:A18" xr:uid="{358FA911-E14F-4FDF-B28B-9CB7B2702B70}"/>
  <tableColumns count="1">
    <tableColumn id="1" xr3:uid="{66B056A7-E37B-4AEB-B558-2C7777C3E88E}" name="Sr.No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E0BB10-E642-4DFF-AB87-EA15D91B2325}" name="Table8" displayName="Table8" ref="C1:G18" totalsRowShown="0">
  <autoFilter ref="C1:G18" xr:uid="{F9E0BB10-E642-4DFF-AB87-EA15D91B2325}"/>
  <tableColumns count="5">
    <tableColumn id="1" xr3:uid="{61FA02E4-1C3D-490E-B23F-E80828CAEFE2}" name="Bjp_Hold">
      <calculatedColumnFormula>VLOOKUP(Decision!B2,Table3[[PC Name]:[Seat Grade ]],8,FALSE)</calculatedColumnFormula>
    </tableColumn>
    <tableColumn id="2" xr3:uid="{FB7BE95F-AFBA-45B2-872F-F6B6B82347B1}" name="Candidate Rating ">
      <calculatedColumnFormula>VLOOKUP(B2,Table5[],8,FALSE)</calculatedColumnFormula>
    </tableColumn>
    <tableColumn id="3" xr3:uid="{FDF6BF52-3B82-4E5D-94F3-95BF01774D28}" name="Seat Type">
      <calculatedColumnFormula>VLOOKUP(B2,Table5[],9,FALSE)</calculatedColumnFormula>
    </tableColumn>
    <tableColumn id="4" xr3:uid="{07106E1D-4A63-4278-A00F-845E921C4A81}" name="Turn Out Factor">
      <calculatedColumnFormula>VLOOKUP(B2,Table4[[PC Name]:[Conversion Rate]],9,FALSE)</calculatedColumnFormula>
    </tableColumn>
    <tableColumn id="5" xr3:uid="{85C604BC-89A0-498D-82A3-90BF4DEB7FB2}" name="Decision" dataDxfId="0">
      <calculatedColumnFormula>_xlfn.IFS( OR(D2="Strong Candidate Face", D2="Strong Party Presence"), "Invest &amp; Maintain", AND(E2="Strong Seat", OR(C2="Strong Hold", C2="Good Hold")), "Protect &amp; Maintain", OR( AND(E2="Swing Seat", OR(F2="High Conversion- Mobilize Voters", F2="Moderate Conversion- Make the existing Base Stronger")), AND(E2="Strong Seat", C2="Average Hold") ), "Invest to Flip", AND(E2="Weak Seat", F2="High Conversion- Mobilize Voters"), "Mobilize Aggressively", TRUE, "Deprioritize" 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BA01-0FA7-487D-95EF-BC32B2F1DBA1}">
  <dimension ref="A1:X544"/>
  <sheetViews>
    <sheetView topLeftCell="K1" workbookViewId="0">
      <selection activeCell="R15" sqref="R15"/>
    </sheetView>
  </sheetViews>
  <sheetFormatPr defaultRowHeight="14.5" x14ac:dyDescent="0.35"/>
  <cols>
    <col min="1" max="1" width="7.26953125" bestFit="1" customWidth="1"/>
    <col min="2" max="2" width="10.54296875" bestFit="1" customWidth="1"/>
    <col min="3" max="3" width="13.1796875" customWidth="1"/>
    <col min="4" max="4" width="38.36328125" bestFit="1" customWidth="1"/>
    <col min="5" max="5" width="9.26953125" bestFit="1" customWidth="1"/>
    <col min="6" max="6" width="6.1796875" bestFit="1" customWidth="1"/>
    <col min="7" max="7" width="10.54296875" bestFit="1" customWidth="1"/>
    <col min="8" max="8" width="12.90625" bestFit="1" customWidth="1"/>
    <col min="9" max="9" width="21.1796875" bestFit="1" customWidth="1"/>
    <col min="10" max="10" width="36.36328125" bestFit="1" customWidth="1"/>
    <col min="11" max="11" width="12.54296875" bestFit="1" customWidth="1"/>
    <col min="12" max="12" width="21.90625" bestFit="1" customWidth="1"/>
    <col min="13" max="13" width="27.26953125" style="9" bestFit="1" customWidth="1"/>
    <col min="14" max="14" width="25.54296875" bestFit="1" customWidth="1"/>
    <col min="15" max="15" width="29.7265625" style="9" bestFit="1" customWidth="1"/>
    <col min="16" max="16" width="10.90625" bestFit="1" customWidth="1"/>
    <col min="17" max="17" width="15.26953125" style="9" bestFit="1" customWidth="1"/>
    <col min="18" max="19" width="15.26953125" customWidth="1"/>
    <col min="20" max="20" width="14.453125" bestFit="1" customWidth="1"/>
    <col min="21" max="21" width="15.6328125" style="8" bestFit="1" customWidth="1"/>
    <col min="22" max="22" width="12.6328125" bestFit="1" customWidth="1"/>
  </cols>
  <sheetData>
    <row r="1" spans="1:24" x14ac:dyDescent="0.35">
      <c r="A1" t="s">
        <v>762</v>
      </c>
      <c r="B1" t="s">
        <v>763</v>
      </c>
      <c r="C1" t="s">
        <v>764</v>
      </c>
      <c r="D1" t="s">
        <v>765</v>
      </c>
      <c r="E1" t="s">
        <v>766</v>
      </c>
      <c r="F1" t="s">
        <v>767</v>
      </c>
      <c r="G1" t="s">
        <v>768</v>
      </c>
      <c r="H1" t="s">
        <v>769</v>
      </c>
      <c r="I1" t="s">
        <v>770</v>
      </c>
      <c r="J1" t="s">
        <v>771</v>
      </c>
      <c r="K1" t="s">
        <v>772</v>
      </c>
      <c r="L1" t="s">
        <v>773</v>
      </c>
      <c r="M1" s="9" t="s">
        <v>774</v>
      </c>
      <c r="N1" t="s">
        <v>775</v>
      </c>
      <c r="O1" s="9" t="s">
        <v>776</v>
      </c>
      <c r="P1" t="s">
        <v>777</v>
      </c>
      <c r="Q1" s="9" t="s">
        <v>778</v>
      </c>
      <c r="R1" t="s">
        <v>1406</v>
      </c>
      <c r="S1" t="s">
        <v>1403</v>
      </c>
      <c r="T1" t="s">
        <v>15</v>
      </c>
      <c r="U1" s="8" t="s">
        <v>779</v>
      </c>
      <c r="V1" t="s">
        <v>780</v>
      </c>
    </row>
    <row r="2" spans="1:24" x14ac:dyDescent="0.35">
      <c r="A2">
        <v>2024</v>
      </c>
      <c r="B2" s="1" t="s">
        <v>19</v>
      </c>
      <c r="C2" s="1" t="s">
        <v>781</v>
      </c>
      <c r="D2" s="1" t="s">
        <v>782</v>
      </c>
      <c r="E2" s="1" t="s">
        <v>21</v>
      </c>
      <c r="F2" s="1" t="s">
        <v>115</v>
      </c>
      <c r="G2" s="1" t="s">
        <v>23</v>
      </c>
      <c r="H2" s="1" t="s">
        <v>32</v>
      </c>
      <c r="I2" s="1" t="s">
        <v>33</v>
      </c>
      <c r="J2">
        <v>1238318</v>
      </c>
      <c r="K2">
        <v>1223835</v>
      </c>
      <c r="L2">
        <v>568168</v>
      </c>
      <c r="M2" s="9">
        <v>0.46425212549</v>
      </c>
      <c r="N2">
        <v>477516</v>
      </c>
      <c r="O2" s="9">
        <v>0.39018004878000001</v>
      </c>
      <c r="P2">
        <v>568168</v>
      </c>
      <c r="Q2" s="9">
        <v>0.46425212549</v>
      </c>
      <c r="R2">
        <f>Telengana_Results_2024[[#This Row],[BJP votes]]-Telengana_Results_2024[[#This Row],[Max Votes Other Than BJP]]</f>
        <v>90652</v>
      </c>
      <c r="S2" s="10">
        <f>Telengana_Results_2024[[#This Row],[BJP vote share]]-Telengana_Results_2024[[#This Row],[Max Vote share other than bjp ]]</f>
        <v>7.407207670999999E-2</v>
      </c>
      <c r="T2">
        <v>1652394</v>
      </c>
      <c r="U2" s="8">
        <v>0.74940843407000002</v>
      </c>
      <c r="V2" s="1" t="s">
        <v>26</v>
      </c>
    </row>
    <row r="3" spans="1:24" x14ac:dyDescent="0.35">
      <c r="A3">
        <v>2024</v>
      </c>
      <c r="B3" s="1" t="s">
        <v>19</v>
      </c>
      <c r="C3" s="1" t="s">
        <v>781</v>
      </c>
      <c r="D3" s="1" t="s">
        <v>783</v>
      </c>
      <c r="E3" s="1" t="s">
        <v>35</v>
      </c>
      <c r="F3" s="1" t="s">
        <v>234</v>
      </c>
      <c r="G3" s="1" t="s">
        <v>23</v>
      </c>
      <c r="H3" s="1" t="s">
        <v>29</v>
      </c>
      <c r="I3" s="1" t="s">
        <v>30</v>
      </c>
      <c r="J3">
        <v>1238318</v>
      </c>
      <c r="K3">
        <v>1223835</v>
      </c>
      <c r="L3">
        <v>477516</v>
      </c>
      <c r="M3" s="9">
        <v>0.39018004878000001</v>
      </c>
      <c r="N3">
        <v>477516</v>
      </c>
      <c r="O3" s="9">
        <v>0.39018004878000001</v>
      </c>
      <c r="P3">
        <v>568168</v>
      </c>
      <c r="Q3" s="9">
        <v>0.46425212549</v>
      </c>
      <c r="R3">
        <f>Telengana_Results_2024[[#This Row],[BJP votes]]-Telengana_Results_2024[[#This Row],[Max Votes Other Than BJP]]</f>
        <v>90652</v>
      </c>
      <c r="S3" s="10">
        <f>Telengana_Results_2024[[#This Row],[BJP vote share]]-Telengana_Results_2024[[#This Row],[Max Vote share other than bjp ]]</f>
        <v>7.407207670999999E-2</v>
      </c>
      <c r="T3">
        <v>1652394</v>
      </c>
      <c r="U3" s="8">
        <v>0.74940843407000002</v>
      </c>
      <c r="V3" s="1" t="s">
        <v>26</v>
      </c>
      <c r="X3" s="1"/>
    </row>
    <row r="4" spans="1:24" x14ac:dyDescent="0.35">
      <c r="A4">
        <v>2024</v>
      </c>
      <c r="B4" s="1" t="s">
        <v>19</v>
      </c>
      <c r="C4" s="1" t="s">
        <v>781</v>
      </c>
      <c r="D4" s="1" t="s">
        <v>784</v>
      </c>
      <c r="E4" s="1" t="s">
        <v>21</v>
      </c>
      <c r="F4" s="1" t="s">
        <v>160</v>
      </c>
      <c r="G4" s="1" t="s">
        <v>23</v>
      </c>
      <c r="H4" s="1" t="s">
        <v>785</v>
      </c>
      <c r="I4" s="1" t="s">
        <v>25</v>
      </c>
      <c r="J4">
        <v>1238318</v>
      </c>
      <c r="K4">
        <v>1223835</v>
      </c>
      <c r="L4">
        <v>137300</v>
      </c>
      <c r="M4" s="9">
        <v>0.11218832603999999</v>
      </c>
      <c r="N4">
        <v>477516</v>
      </c>
      <c r="O4" s="9">
        <v>0.39018004878000001</v>
      </c>
      <c r="P4">
        <v>568168</v>
      </c>
      <c r="Q4" s="9">
        <v>0.46425212549</v>
      </c>
      <c r="R4">
        <f>Telengana_Results_2024[[#This Row],[BJP votes]]-Telengana_Results_2024[[#This Row],[Max Votes Other Than BJP]]</f>
        <v>90652</v>
      </c>
      <c r="S4" s="10">
        <f>Telengana_Results_2024[[#This Row],[BJP vote share]]-Telengana_Results_2024[[#This Row],[Max Vote share other than bjp ]]</f>
        <v>7.407207670999999E-2</v>
      </c>
      <c r="T4">
        <v>1652394</v>
      </c>
      <c r="U4" s="8">
        <v>0.74940843407000002</v>
      </c>
      <c r="V4" s="1" t="s">
        <v>26</v>
      </c>
      <c r="X4" s="1"/>
    </row>
    <row r="5" spans="1:24" x14ac:dyDescent="0.35">
      <c r="A5">
        <v>2024</v>
      </c>
      <c r="B5" s="1" t="s">
        <v>19</v>
      </c>
      <c r="C5" s="1" t="s">
        <v>781</v>
      </c>
      <c r="D5" s="1" t="s">
        <v>64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>
        <v>1238318</v>
      </c>
      <c r="K5">
        <v>1223835</v>
      </c>
      <c r="L5">
        <v>11762</v>
      </c>
      <c r="M5" s="9">
        <v>9.6107726939999999E-3</v>
      </c>
      <c r="N5">
        <v>477516</v>
      </c>
      <c r="O5" s="9">
        <v>0.39018004878000001</v>
      </c>
      <c r="P5">
        <v>568168</v>
      </c>
      <c r="Q5" s="9">
        <v>0.46425212549</v>
      </c>
      <c r="R5">
        <f>Telengana_Results_2024[[#This Row],[BJP votes]]-Telengana_Results_2024[[#This Row],[Max Votes Other Than BJP]]</f>
        <v>90652</v>
      </c>
      <c r="S5" s="10">
        <f>Telengana_Results_2024[[#This Row],[BJP vote share]]-Telengana_Results_2024[[#This Row],[Max Vote share other than bjp ]]</f>
        <v>7.407207670999999E-2</v>
      </c>
      <c r="T5">
        <v>1652394</v>
      </c>
      <c r="U5" s="8">
        <v>0.74940843407000002</v>
      </c>
      <c r="V5" s="1" t="s">
        <v>26</v>
      </c>
      <c r="X5" s="1"/>
    </row>
    <row r="6" spans="1:24" x14ac:dyDescent="0.35">
      <c r="A6">
        <v>2024</v>
      </c>
      <c r="B6" s="1" t="s">
        <v>19</v>
      </c>
      <c r="C6" s="1" t="s">
        <v>781</v>
      </c>
      <c r="D6" s="1" t="s">
        <v>786</v>
      </c>
      <c r="E6" s="1" t="s">
        <v>21</v>
      </c>
      <c r="F6" s="1" t="s">
        <v>36</v>
      </c>
      <c r="G6" s="1" t="s">
        <v>23</v>
      </c>
      <c r="H6" s="1" t="s">
        <v>787</v>
      </c>
      <c r="I6" s="1" t="s">
        <v>788</v>
      </c>
      <c r="J6">
        <v>1238318</v>
      </c>
      <c r="K6">
        <v>1223835</v>
      </c>
      <c r="L6">
        <v>7499</v>
      </c>
      <c r="M6" s="9">
        <v>6.1274599925999996E-3</v>
      </c>
      <c r="N6">
        <v>477516</v>
      </c>
      <c r="O6" s="9">
        <v>0.39018004878000001</v>
      </c>
      <c r="P6">
        <v>568168</v>
      </c>
      <c r="Q6" s="9">
        <v>0.46425212549</v>
      </c>
      <c r="R6">
        <f>Telengana_Results_2024[[#This Row],[BJP votes]]-Telengana_Results_2024[[#This Row],[Max Votes Other Than BJP]]</f>
        <v>90652</v>
      </c>
      <c r="S6" s="10">
        <f>Telengana_Results_2024[[#This Row],[BJP vote share]]-Telengana_Results_2024[[#This Row],[Max Vote share other than bjp ]]</f>
        <v>7.407207670999999E-2</v>
      </c>
      <c r="T6">
        <v>1652394</v>
      </c>
      <c r="U6" s="8">
        <v>0.74940843407000002</v>
      </c>
      <c r="V6" s="1" t="s">
        <v>26</v>
      </c>
      <c r="X6" s="1"/>
    </row>
    <row r="7" spans="1:24" x14ac:dyDescent="0.35">
      <c r="A7">
        <v>2024</v>
      </c>
      <c r="B7" s="1" t="s">
        <v>19</v>
      </c>
      <c r="C7" s="1" t="s">
        <v>781</v>
      </c>
      <c r="D7" s="1" t="s">
        <v>789</v>
      </c>
      <c r="E7" s="1" t="s">
        <v>21</v>
      </c>
      <c r="F7" s="1" t="s">
        <v>80</v>
      </c>
      <c r="G7" s="1" t="s">
        <v>23</v>
      </c>
      <c r="H7" s="1" t="s">
        <v>72</v>
      </c>
      <c r="I7" s="1" t="s">
        <v>73</v>
      </c>
      <c r="J7">
        <v>1238318</v>
      </c>
      <c r="K7">
        <v>1223835</v>
      </c>
      <c r="L7">
        <v>6744</v>
      </c>
      <c r="M7" s="9">
        <v>5.5105467649E-3</v>
      </c>
      <c r="N7">
        <v>477516</v>
      </c>
      <c r="O7" s="9">
        <v>0.39018004878000001</v>
      </c>
      <c r="P7">
        <v>568168</v>
      </c>
      <c r="Q7" s="9">
        <v>0.46425212549</v>
      </c>
      <c r="R7">
        <f>Telengana_Results_2024[[#This Row],[BJP votes]]-Telengana_Results_2024[[#This Row],[Max Votes Other Than BJP]]</f>
        <v>90652</v>
      </c>
      <c r="S7" s="10">
        <f>Telengana_Results_2024[[#This Row],[BJP vote share]]-Telengana_Results_2024[[#This Row],[Max Vote share other than bjp ]]</f>
        <v>7.407207670999999E-2</v>
      </c>
      <c r="T7">
        <v>1652394</v>
      </c>
      <c r="U7" s="8">
        <v>0.74940843407000002</v>
      </c>
      <c r="V7" s="1" t="s">
        <v>26</v>
      </c>
      <c r="X7" s="1"/>
    </row>
    <row r="8" spans="1:24" x14ac:dyDescent="0.35">
      <c r="A8">
        <v>2024</v>
      </c>
      <c r="B8" s="1" t="s">
        <v>19</v>
      </c>
      <c r="C8" s="1" t="s">
        <v>781</v>
      </c>
      <c r="D8" s="1" t="s">
        <v>790</v>
      </c>
      <c r="E8" s="1" t="s">
        <v>21</v>
      </c>
      <c r="F8" s="1" t="s">
        <v>95</v>
      </c>
      <c r="G8" s="1" t="s">
        <v>23</v>
      </c>
      <c r="H8" s="1" t="s">
        <v>53</v>
      </c>
      <c r="I8" s="1" t="s">
        <v>791</v>
      </c>
      <c r="J8">
        <v>1238318</v>
      </c>
      <c r="K8">
        <v>1223835</v>
      </c>
      <c r="L8">
        <v>6528</v>
      </c>
      <c r="M8" s="9">
        <v>5.3340523845000001E-3</v>
      </c>
      <c r="N8">
        <v>477516</v>
      </c>
      <c r="O8" s="9">
        <v>0.39018004878000001</v>
      </c>
      <c r="P8">
        <v>568168</v>
      </c>
      <c r="Q8" s="9">
        <v>0.46425212549</v>
      </c>
      <c r="R8">
        <f>Telengana_Results_2024[[#This Row],[BJP votes]]-Telengana_Results_2024[[#This Row],[Max Votes Other Than BJP]]</f>
        <v>90652</v>
      </c>
      <c r="S8" s="10">
        <f>Telengana_Results_2024[[#This Row],[BJP vote share]]-Telengana_Results_2024[[#This Row],[Max Vote share other than bjp ]]</f>
        <v>7.407207670999999E-2</v>
      </c>
      <c r="T8">
        <v>1652394</v>
      </c>
      <c r="U8" s="8">
        <v>0.74940843407000002</v>
      </c>
      <c r="V8" s="1" t="s">
        <v>26</v>
      </c>
      <c r="X8" s="1"/>
    </row>
    <row r="9" spans="1:24" x14ac:dyDescent="0.35">
      <c r="A9">
        <v>2024</v>
      </c>
      <c r="B9" s="1" t="s">
        <v>19</v>
      </c>
      <c r="C9" s="1" t="s">
        <v>781</v>
      </c>
      <c r="D9" s="1" t="s">
        <v>792</v>
      </c>
      <c r="E9" s="1" t="s">
        <v>21</v>
      </c>
      <c r="F9" s="1" t="s">
        <v>71</v>
      </c>
      <c r="G9" s="1" t="s">
        <v>23</v>
      </c>
      <c r="H9" s="1" t="s">
        <v>53</v>
      </c>
      <c r="I9" s="1" t="s">
        <v>793</v>
      </c>
      <c r="J9">
        <v>1238318</v>
      </c>
      <c r="K9">
        <v>1223835</v>
      </c>
      <c r="L9">
        <v>6446</v>
      </c>
      <c r="M9" s="9">
        <v>5.2670498882999997E-3</v>
      </c>
      <c r="N9">
        <v>477516</v>
      </c>
      <c r="O9" s="9">
        <v>0.39018004878000001</v>
      </c>
      <c r="P9">
        <v>568168</v>
      </c>
      <c r="Q9" s="9">
        <v>0.46425212549</v>
      </c>
      <c r="R9">
        <f>Telengana_Results_2024[[#This Row],[BJP votes]]-Telengana_Results_2024[[#This Row],[Max Votes Other Than BJP]]</f>
        <v>90652</v>
      </c>
      <c r="S9" s="10">
        <f>Telengana_Results_2024[[#This Row],[BJP vote share]]-Telengana_Results_2024[[#This Row],[Max Vote share other than bjp ]]</f>
        <v>7.407207670999999E-2</v>
      </c>
      <c r="T9">
        <v>1652394</v>
      </c>
      <c r="U9" s="8">
        <v>0.74940843407000002</v>
      </c>
      <c r="V9" s="1" t="s">
        <v>26</v>
      </c>
      <c r="X9" s="1"/>
    </row>
    <row r="10" spans="1:24" x14ac:dyDescent="0.35">
      <c r="A10">
        <v>2024</v>
      </c>
      <c r="B10" s="1" t="s">
        <v>19</v>
      </c>
      <c r="C10" s="1" t="s">
        <v>781</v>
      </c>
      <c r="D10" s="1" t="s">
        <v>794</v>
      </c>
      <c r="E10" s="1" t="s">
        <v>21</v>
      </c>
      <c r="F10" s="1" t="s">
        <v>120</v>
      </c>
      <c r="G10" s="1" t="s">
        <v>23</v>
      </c>
      <c r="H10" s="1" t="s">
        <v>795</v>
      </c>
      <c r="I10" s="1" t="s">
        <v>796</v>
      </c>
      <c r="J10">
        <v>1238318</v>
      </c>
      <c r="K10">
        <v>1223835</v>
      </c>
      <c r="L10">
        <v>4644</v>
      </c>
      <c r="M10" s="9">
        <v>3.794629178E-3</v>
      </c>
      <c r="N10">
        <v>477516</v>
      </c>
      <c r="O10" s="9">
        <v>0.39018004878000001</v>
      </c>
      <c r="P10">
        <v>568168</v>
      </c>
      <c r="Q10" s="9">
        <v>0.46425212549</v>
      </c>
      <c r="R10">
        <f>Telengana_Results_2024[[#This Row],[BJP votes]]-Telengana_Results_2024[[#This Row],[Max Votes Other Than BJP]]</f>
        <v>90652</v>
      </c>
      <c r="S10" s="10">
        <f>Telengana_Results_2024[[#This Row],[BJP vote share]]-Telengana_Results_2024[[#This Row],[Max Vote share other than bjp ]]</f>
        <v>7.407207670999999E-2</v>
      </c>
      <c r="T10">
        <v>1652394</v>
      </c>
      <c r="U10" s="8">
        <v>0.74940843407000002</v>
      </c>
      <c r="V10" s="1" t="s">
        <v>26</v>
      </c>
      <c r="X10" s="1"/>
    </row>
    <row r="11" spans="1:24" x14ac:dyDescent="0.35">
      <c r="A11">
        <v>2024</v>
      </c>
      <c r="B11" s="1" t="s">
        <v>19</v>
      </c>
      <c r="C11" s="1" t="s">
        <v>781</v>
      </c>
      <c r="D11" s="1" t="s">
        <v>797</v>
      </c>
      <c r="E11" s="1" t="s">
        <v>35</v>
      </c>
      <c r="F11" s="1" t="s">
        <v>117</v>
      </c>
      <c r="G11" s="1" t="s">
        <v>23</v>
      </c>
      <c r="H11" s="1" t="s">
        <v>798</v>
      </c>
      <c r="I11" s="1" t="s">
        <v>749</v>
      </c>
      <c r="J11">
        <v>1238318</v>
      </c>
      <c r="K11">
        <v>1223835</v>
      </c>
      <c r="L11">
        <v>3468</v>
      </c>
      <c r="M11" s="9">
        <v>2.8337153293000001E-3</v>
      </c>
      <c r="N11">
        <v>477516</v>
      </c>
      <c r="O11" s="9">
        <v>0.39018004878000001</v>
      </c>
      <c r="P11">
        <v>568168</v>
      </c>
      <c r="Q11" s="9">
        <v>0.46425212549</v>
      </c>
      <c r="R11">
        <f>Telengana_Results_2024[[#This Row],[BJP votes]]-Telengana_Results_2024[[#This Row],[Max Votes Other Than BJP]]</f>
        <v>90652</v>
      </c>
      <c r="S11" s="10">
        <f>Telengana_Results_2024[[#This Row],[BJP vote share]]-Telengana_Results_2024[[#This Row],[Max Vote share other than bjp ]]</f>
        <v>7.407207670999999E-2</v>
      </c>
      <c r="T11">
        <v>1652394</v>
      </c>
      <c r="U11" s="8">
        <v>0.74940843407000002</v>
      </c>
      <c r="V11" s="1" t="s">
        <v>26</v>
      </c>
      <c r="X11" s="1"/>
    </row>
    <row r="12" spans="1:24" x14ac:dyDescent="0.35">
      <c r="A12">
        <v>2024</v>
      </c>
      <c r="B12" s="1" t="s">
        <v>19</v>
      </c>
      <c r="C12" s="1" t="s">
        <v>781</v>
      </c>
      <c r="D12" s="1" t="s">
        <v>799</v>
      </c>
      <c r="E12" s="1" t="s">
        <v>21</v>
      </c>
      <c r="F12" s="1" t="s">
        <v>36</v>
      </c>
      <c r="G12" s="1" t="s">
        <v>23</v>
      </c>
      <c r="H12" s="1" t="s">
        <v>800</v>
      </c>
      <c r="I12" s="1" t="s">
        <v>54</v>
      </c>
      <c r="J12">
        <v>1238318</v>
      </c>
      <c r="K12">
        <v>1223835</v>
      </c>
      <c r="L12">
        <v>2292</v>
      </c>
      <c r="M12" s="9">
        <v>1.8728014806E-3</v>
      </c>
      <c r="N12">
        <v>477516</v>
      </c>
      <c r="O12" s="9">
        <v>0.39018004878000001</v>
      </c>
      <c r="P12">
        <v>568168</v>
      </c>
      <c r="Q12" s="9">
        <v>0.46425212549</v>
      </c>
      <c r="R12">
        <f>Telengana_Results_2024[[#This Row],[BJP votes]]-Telengana_Results_2024[[#This Row],[Max Votes Other Than BJP]]</f>
        <v>90652</v>
      </c>
      <c r="S12" s="10">
        <f>Telengana_Results_2024[[#This Row],[BJP vote share]]-Telengana_Results_2024[[#This Row],[Max Vote share other than bjp ]]</f>
        <v>7.407207670999999E-2</v>
      </c>
      <c r="T12">
        <v>1652394</v>
      </c>
      <c r="U12" s="8">
        <v>0.74940843407000002</v>
      </c>
      <c r="V12" s="1" t="s">
        <v>26</v>
      </c>
      <c r="X12" s="1"/>
    </row>
    <row r="13" spans="1:24" x14ac:dyDescent="0.35">
      <c r="A13">
        <v>2024</v>
      </c>
      <c r="B13" s="1" t="s">
        <v>19</v>
      </c>
      <c r="C13" s="1" t="s">
        <v>781</v>
      </c>
      <c r="D13" s="1" t="s">
        <v>801</v>
      </c>
      <c r="E13" s="1" t="s">
        <v>21</v>
      </c>
      <c r="F13" s="1" t="s">
        <v>95</v>
      </c>
      <c r="G13" s="1" t="s">
        <v>23</v>
      </c>
      <c r="H13" s="1" t="s">
        <v>802</v>
      </c>
      <c r="I13" s="1" t="s">
        <v>803</v>
      </c>
      <c r="J13">
        <v>1238318</v>
      </c>
      <c r="K13">
        <v>1223835</v>
      </c>
      <c r="L13">
        <v>1685</v>
      </c>
      <c r="M13" s="9">
        <v>1.3768195876E-3</v>
      </c>
      <c r="N13">
        <v>477516</v>
      </c>
      <c r="O13" s="9">
        <v>0.39018004878000001</v>
      </c>
      <c r="P13">
        <v>568168</v>
      </c>
      <c r="Q13" s="9">
        <v>0.46425212549</v>
      </c>
      <c r="R13">
        <f>Telengana_Results_2024[[#This Row],[BJP votes]]-Telengana_Results_2024[[#This Row],[Max Votes Other Than BJP]]</f>
        <v>90652</v>
      </c>
      <c r="S13" s="10">
        <f>Telengana_Results_2024[[#This Row],[BJP vote share]]-Telengana_Results_2024[[#This Row],[Max Vote share other than bjp ]]</f>
        <v>7.407207670999999E-2</v>
      </c>
      <c r="T13">
        <v>1652394</v>
      </c>
      <c r="U13" s="8">
        <v>0.74940843407000002</v>
      </c>
      <c r="V13" s="1" t="s">
        <v>26</v>
      </c>
      <c r="X13" s="1"/>
    </row>
    <row r="14" spans="1:24" x14ac:dyDescent="0.35">
      <c r="A14">
        <v>2024</v>
      </c>
      <c r="B14" s="1" t="s">
        <v>19</v>
      </c>
      <c r="C14" s="1" t="s">
        <v>781</v>
      </c>
      <c r="D14" s="1" t="s">
        <v>804</v>
      </c>
      <c r="E14" s="1" t="s">
        <v>21</v>
      </c>
      <c r="F14" s="1" t="s">
        <v>36</v>
      </c>
      <c r="G14" s="1" t="s">
        <v>23</v>
      </c>
      <c r="H14" s="1" t="s">
        <v>84</v>
      </c>
      <c r="I14" s="1" t="s">
        <v>85</v>
      </c>
      <c r="J14">
        <v>1238318</v>
      </c>
      <c r="K14">
        <v>1223835</v>
      </c>
      <c r="L14">
        <v>1545</v>
      </c>
      <c r="M14" s="9">
        <v>1.2624250817999999E-3</v>
      </c>
      <c r="N14">
        <v>477516</v>
      </c>
      <c r="O14" s="9">
        <v>0.39018004878000001</v>
      </c>
      <c r="P14">
        <v>568168</v>
      </c>
      <c r="Q14" s="9">
        <v>0.46425212549</v>
      </c>
      <c r="R14">
        <f>Telengana_Results_2024[[#This Row],[BJP votes]]-Telengana_Results_2024[[#This Row],[Max Votes Other Than BJP]]</f>
        <v>90652</v>
      </c>
      <c r="S14" s="10">
        <f>Telengana_Results_2024[[#This Row],[BJP vote share]]-Telengana_Results_2024[[#This Row],[Max Vote share other than bjp ]]</f>
        <v>7.407207670999999E-2</v>
      </c>
      <c r="T14">
        <v>1652394</v>
      </c>
      <c r="U14" s="8">
        <v>0.74940843407000002</v>
      </c>
      <c r="V14" s="1" t="s">
        <v>26</v>
      </c>
      <c r="X14" s="1"/>
    </row>
    <row r="15" spans="1:24" x14ac:dyDescent="0.35">
      <c r="A15">
        <v>2024</v>
      </c>
      <c r="B15" s="1" t="s">
        <v>19</v>
      </c>
      <c r="C15" s="1" t="s">
        <v>805</v>
      </c>
      <c r="D15" s="1" t="s">
        <v>806</v>
      </c>
      <c r="E15" s="1" t="s">
        <v>21</v>
      </c>
      <c r="F15" s="1" t="s">
        <v>36</v>
      </c>
      <c r="G15" s="1" t="s">
        <v>67</v>
      </c>
      <c r="H15" s="1" t="s">
        <v>29</v>
      </c>
      <c r="I15" s="1" t="s">
        <v>30</v>
      </c>
      <c r="J15">
        <v>1096672</v>
      </c>
      <c r="K15">
        <v>1089584</v>
      </c>
      <c r="L15">
        <v>475587</v>
      </c>
      <c r="M15" s="9">
        <v>0.43648493370000002</v>
      </c>
      <c r="N15">
        <v>475587</v>
      </c>
      <c r="O15" s="9">
        <v>0.43648493370000002</v>
      </c>
      <c r="P15">
        <v>344223</v>
      </c>
      <c r="Q15" s="9">
        <v>0.31592148930000002</v>
      </c>
      <c r="R15">
        <f>Telengana_Results_2024[[#This Row],[BJP votes]]-Telengana_Results_2024[[#This Row],[Max Votes Other Than BJP]]</f>
        <v>-131364</v>
      </c>
      <c r="S15" s="10">
        <f>Telengana_Results_2024[[#This Row],[BJP vote share]]-Telengana_Results_2024[[#This Row],[Max Vote share other than bjp ]]</f>
        <v>-0.1205634444</v>
      </c>
      <c r="T15">
        <v>1597892</v>
      </c>
      <c r="U15" s="8">
        <v>0.68632423218000005</v>
      </c>
      <c r="V15" s="1" t="s">
        <v>68</v>
      </c>
      <c r="X15" s="1"/>
    </row>
    <row r="16" spans="1:24" x14ac:dyDescent="0.35">
      <c r="A16">
        <v>2024</v>
      </c>
      <c r="B16" s="1" t="s">
        <v>19</v>
      </c>
      <c r="C16" s="1" t="s">
        <v>805</v>
      </c>
      <c r="D16" s="1" t="s">
        <v>807</v>
      </c>
      <c r="E16" s="1" t="s">
        <v>21</v>
      </c>
      <c r="F16" s="1" t="s">
        <v>91</v>
      </c>
      <c r="G16" s="1" t="s">
        <v>67</v>
      </c>
      <c r="H16" s="1" t="s">
        <v>32</v>
      </c>
      <c r="I16" s="1" t="s">
        <v>33</v>
      </c>
      <c r="J16">
        <v>1096672</v>
      </c>
      <c r="K16">
        <v>1089584</v>
      </c>
      <c r="L16">
        <v>344223</v>
      </c>
      <c r="M16" s="9">
        <v>0.31592148930000002</v>
      </c>
      <c r="N16">
        <v>475587</v>
      </c>
      <c r="O16" s="9">
        <v>0.43648493370000002</v>
      </c>
      <c r="P16">
        <v>344223</v>
      </c>
      <c r="Q16" s="9">
        <v>0.31592148930000002</v>
      </c>
      <c r="R16">
        <f>Telengana_Results_2024[[#This Row],[BJP votes]]-Telengana_Results_2024[[#This Row],[Max Votes Other Than BJP]]</f>
        <v>-131364</v>
      </c>
      <c r="S16" s="10">
        <f>Telengana_Results_2024[[#This Row],[BJP vote share]]-Telengana_Results_2024[[#This Row],[Max Vote share other than bjp ]]</f>
        <v>-0.1205634444</v>
      </c>
      <c r="T16">
        <v>1597892</v>
      </c>
      <c r="U16" s="8">
        <v>0.68632423218000005</v>
      </c>
      <c r="V16" s="1" t="s">
        <v>68</v>
      </c>
      <c r="X16" s="1"/>
    </row>
    <row r="17" spans="1:24" x14ac:dyDescent="0.35">
      <c r="A17">
        <v>2024</v>
      </c>
      <c r="B17" s="1" t="s">
        <v>19</v>
      </c>
      <c r="C17" s="1" t="s">
        <v>805</v>
      </c>
      <c r="D17" s="1" t="s">
        <v>808</v>
      </c>
      <c r="E17" s="1" t="s">
        <v>21</v>
      </c>
      <c r="F17" s="1" t="s">
        <v>559</v>
      </c>
      <c r="G17" s="1" t="s">
        <v>67</v>
      </c>
      <c r="H17" s="1" t="s">
        <v>785</v>
      </c>
      <c r="I17" s="1" t="s">
        <v>25</v>
      </c>
      <c r="J17">
        <v>1096672</v>
      </c>
      <c r="K17">
        <v>1089584</v>
      </c>
      <c r="L17">
        <v>193356</v>
      </c>
      <c r="M17" s="9">
        <v>0.17745855298999999</v>
      </c>
      <c r="N17">
        <v>475587</v>
      </c>
      <c r="O17" s="9">
        <v>0.43648493370000002</v>
      </c>
      <c r="P17">
        <v>344223</v>
      </c>
      <c r="Q17" s="9">
        <v>0.31592148930000002</v>
      </c>
      <c r="R17">
        <f>Telengana_Results_2024[[#This Row],[BJP votes]]-Telengana_Results_2024[[#This Row],[Max Votes Other Than BJP]]</f>
        <v>-131364</v>
      </c>
      <c r="S17" s="10">
        <f>Telengana_Results_2024[[#This Row],[BJP vote share]]-Telengana_Results_2024[[#This Row],[Max Vote share other than bjp ]]</f>
        <v>-0.1205634444</v>
      </c>
      <c r="T17">
        <v>1597892</v>
      </c>
      <c r="U17" s="8">
        <v>0.68632423218000005</v>
      </c>
      <c r="V17" s="1" t="s">
        <v>68</v>
      </c>
      <c r="X17" s="1"/>
    </row>
    <row r="18" spans="1:24" x14ac:dyDescent="0.35">
      <c r="A18">
        <v>2024</v>
      </c>
      <c r="B18" s="1" t="s">
        <v>19</v>
      </c>
      <c r="C18" s="1" t="s">
        <v>805</v>
      </c>
      <c r="D18" s="1" t="s">
        <v>809</v>
      </c>
      <c r="E18" s="1" t="s">
        <v>21</v>
      </c>
      <c r="F18" s="1" t="s">
        <v>104</v>
      </c>
      <c r="G18" s="1" t="s">
        <v>67</v>
      </c>
      <c r="H18" s="1" t="s">
        <v>72</v>
      </c>
      <c r="I18" s="1" t="s">
        <v>73</v>
      </c>
      <c r="J18">
        <v>1096672</v>
      </c>
      <c r="K18">
        <v>1089584</v>
      </c>
      <c r="L18">
        <v>6799</v>
      </c>
      <c r="M18" s="9">
        <v>6.2399961820000004E-3</v>
      </c>
      <c r="N18">
        <v>475587</v>
      </c>
      <c r="O18" s="9">
        <v>0.43648493370000002</v>
      </c>
      <c r="P18">
        <v>344223</v>
      </c>
      <c r="Q18" s="9">
        <v>0.31592148930000002</v>
      </c>
      <c r="R18">
        <f>Telengana_Results_2024[[#This Row],[BJP votes]]-Telengana_Results_2024[[#This Row],[Max Votes Other Than BJP]]</f>
        <v>-131364</v>
      </c>
      <c r="S18" s="10">
        <f>Telengana_Results_2024[[#This Row],[BJP vote share]]-Telengana_Results_2024[[#This Row],[Max Vote share other than bjp ]]</f>
        <v>-0.1205634444</v>
      </c>
      <c r="T18">
        <v>1597892</v>
      </c>
      <c r="U18" s="8">
        <v>0.68632423218000005</v>
      </c>
      <c r="V18" s="1" t="s">
        <v>68</v>
      </c>
      <c r="X18" s="1"/>
    </row>
    <row r="19" spans="1:24" x14ac:dyDescent="0.35">
      <c r="A19">
        <v>2024</v>
      </c>
      <c r="B19" s="1" t="s">
        <v>19</v>
      </c>
      <c r="C19" s="1" t="s">
        <v>805</v>
      </c>
      <c r="D19" s="1" t="s">
        <v>64</v>
      </c>
      <c r="E19" s="1" t="s">
        <v>64</v>
      </c>
      <c r="F19" s="1" t="s">
        <v>64</v>
      </c>
      <c r="G19" s="1" t="s">
        <v>64</v>
      </c>
      <c r="H19" s="1" t="s">
        <v>64</v>
      </c>
      <c r="I19" s="1" t="s">
        <v>64</v>
      </c>
      <c r="J19">
        <v>1096672</v>
      </c>
      <c r="K19">
        <v>1089584</v>
      </c>
      <c r="L19">
        <v>5711</v>
      </c>
      <c r="M19" s="9">
        <v>5.2414499479000003E-3</v>
      </c>
      <c r="N19">
        <v>475587</v>
      </c>
      <c r="O19" s="9">
        <v>0.43648493370000002</v>
      </c>
      <c r="P19">
        <v>344223</v>
      </c>
      <c r="Q19" s="9">
        <v>0.31592148930000002</v>
      </c>
      <c r="R19">
        <f>Telengana_Results_2024[[#This Row],[BJP votes]]-Telengana_Results_2024[[#This Row],[Max Votes Other Than BJP]]</f>
        <v>-131364</v>
      </c>
      <c r="S19" s="10">
        <f>Telengana_Results_2024[[#This Row],[BJP vote share]]-Telengana_Results_2024[[#This Row],[Max Vote share other than bjp ]]</f>
        <v>-0.1205634444</v>
      </c>
      <c r="T19">
        <v>1597892</v>
      </c>
      <c r="U19" s="8">
        <v>0.68632423218000005</v>
      </c>
      <c r="V19" s="1" t="s">
        <v>68</v>
      </c>
      <c r="X19" s="1"/>
    </row>
    <row r="20" spans="1:24" x14ac:dyDescent="0.35">
      <c r="A20">
        <v>2024</v>
      </c>
      <c r="B20" s="1" t="s">
        <v>19</v>
      </c>
      <c r="C20" s="1" t="s">
        <v>805</v>
      </c>
      <c r="D20" s="1" t="s">
        <v>810</v>
      </c>
      <c r="E20" s="1" t="s">
        <v>21</v>
      </c>
      <c r="F20" s="1" t="s">
        <v>22</v>
      </c>
      <c r="G20" s="1" t="s">
        <v>67</v>
      </c>
      <c r="H20" s="1" t="s">
        <v>150</v>
      </c>
      <c r="I20" s="1" t="s">
        <v>151</v>
      </c>
      <c r="J20">
        <v>1096672</v>
      </c>
      <c r="K20">
        <v>1089584</v>
      </c>
      <c r="L20">
        <v>5223</v>
      </c>
      <c r="M20" s="9">
        <v>4.7935725928000003E-3</v>
      </c>
      <c r="N20">
        <v>475587</v>
      </c>
      <c r="O20" s="9">
        <v>0.43648493370000002</v>
      </c>
      <c r="P20">
        <v>344223</v>
      </c>
      <c r="Q20" s="9">
        <v>0.31592148930000002</v>
      </c>
      <c r="R20">
        <f>Telengana_Results_2024[[#This Row],[BJP votes]]-Telengana_Results_2024[[#This Row],[Max Votes Other Than BJP]]</f>
        <v>-131364</v>
      </c>
      <c r="S20" s="10">
        <f>Telengana_Results_2024[[#This Row],[BJP vote share]]-Telengana_Results_2024[[#This Row],[Max Vote share other than bjp ]]</f>
        <v>-0.1205634444</v>
      </c>
      <c r="T20">
        <v>1597892</v>
      </c>
      <c r="U20" s="8">
        <v>0.68632423218000005</v>
      </c>
      <c r="V20" s="1" t="s">
        <v>68</v>
      </c>
      <c r="X20" s="1"/>
    </row>
    <row r="21" spans="1:24" x14ac:dyDescent="0.35">
      <c r="A21">
        <v>2024</v>
      </c>
      <c r="B21" s="1" t="s">
        <v>19</v>
      </c>
      <c r="C21" s="1" t="s">
        <v>805</v>
      </c>
      <c r="D21" s="1" t="s">
        <v>811</v>
      </c>
      <c r="E21" s="1" t="s">
        <v>21</v>
      </c>
      <c r="F21" s="1" t="s">
        <v>125</v>
      </c>
      <c r="G21" s="1" t="s">
        <v>67</v>
      </c>
      <c r="H21" s="1" t="s">
        <v>812</v>
      </c>
      <c r="I21" s="1" t="s">
        <v>163</v>
      </c>
      <c r="J21">
        <v>1096672</v>
      </c>
      <c r="K21">
        <v>1089584</v>
      </c>
      <c r="L21">
        <v>5007</v>
      </c>
      <c r="M21" s="9">
        <v>4.5953317964E-3</v>
      </c>
      <c r="N21">
        <v>475587</v>
      </c>
      <c r="O21" s="9">
        <v>0.43648493370000002</v>
      </c>
      <c r="P21">
        <v>344223</v>
      </c>
      <c r="Q21" s="9">
        <v>0.31592148930000002</v>
      </c>
      <c r="R21">
        <f>Telengana_Results_2024[[#This Row],[BJP votes]]-Telengana_Results_2024[[#This Row],[Max Votes Other Than BJP]]</f>
        <v>-131364</v>
      </c>
      <c r="S21" s="10">
        <f>Telengana_Results_2024[[#This Row],[BJP vote share]]-Telengana_Results_2024[[#This Row],[Max Vote share other than bjp ]]</f>
        <v>-0.1205634444</v>
      </c>
      <c r="T21">
        <v>1597892</v>
      </c>
      <c r="U21" s="8">
        <v>0.68632423218000005</v>
      </c>
      <c r="V21" s="1" t="s">
        <v>68</v>
      </c>
      <c r="X21" s="1"/>
    </row>
    <row r="22" spans="1:24" x14ac:dyDescent="0.35">
      <c r="A22">
        <v>2024</v>
      </c>
      <c r="B22" s="1" t="s">
        <v>19</v>
      </c>
      <c r="C22" s="1" t="s">
        <v>805</v>
      </c>
      <c r="D22" s="1" t="s">
        <v>813</v>
      </c>
      <c r="E22" s="1" t="s">
        <v>21</v>
      </c>
      <c r="F22" s="1" t="s">
        <v>95</v>
      </c>
      <c r="G22" s="1" t="s">
        <v>67</v>
      </c>
      <c r="H22" s="1" t="s">
        <v>798</v>
      </c>
      <c r="I22" s="1" t="s">
        <v>749</v>
      </c>
      <c r="J22">
        <v>1096672</v>
      </c>
      <c r="K22">
        <v>1089584</v>
      </c>
      <c r="L22">
        <v>4334</v>
      </c>
      <c r="M22" s="9">
        <v>3.9776648703000001E-3</v>
      </c>
      <c r="N22">
        <v>475587</v>
      </c>
      <c r="O22" s="9">
        <v>0.43648493370000002</v>
      </c>
      <c r="P22">
        <v>344223</v>
      </c>
      <c r="Q22" s="9">
        <v>0.31592148930000002</v>
      </c>
      <c r="R22">
        <f>Telengana_Results_2024[[#This Row],[BJP votes]]-Telengana_Results_2024[[#This Row],[Max Votes Other Than BJP]]</f>
        <v>-131364</v>
      </c>
      <c r="S22" s="10">
        <f>Telengana_Results_2024[[#This Row],[BJP vote share]]-Telengana_Results_2024[[#This Row],[Max Vote share other than bjp ]]</f>
        <v>-0.1205634444</v>
      </c>
      <c r="T22">
        <v>1597892</v>
      </c>
      <c r="U22" s="8">
        <v>0.68632423218000005</v>
      </c>
      <c r="V22" s="1" t="s">
        <v>68</v>
      </c>
    </row>
    <row r="23" spans="1:24" x14ac:dyDescent="0.35">
      <c r="A23">
        <v>2024</v>
      </c>
      <c r="B23" s="1" t="s">
        <v>19</v>
      </c>
      <c r="C23" s="1" t="s">
        <v>805</v>
      </c>
      <c r="D23" s="1" t="s">
        <v>814</v>
      </c>
      <c r="E23" s="1" t="s">
        <v>35</v>
      </c>
      <c r="F23" s="1" t="s">
        <v>155</v>
      </c>
      <c r="G23" s="1" t="s">
        <v>67</v>
      </c>
      <c r="H23" s="1" t="s">
        <v>787</v>
      </c>
      <c r="I23" s="1" t="s">
        <v>788</v>
      </c>
      <c r="J23">
        <v>1096672</v>
      </c>
      <c r="K23">
        <v>1089584</v>
      </c>
      <c r="L23">
        <v>3783</v>
      </c>
      <c r="M23" s="9">
        <v>3.4719672829000001E-3</v>
      </c>
      <c r="N23">
        <v>475587</v>
      </c>
      <c r="O23" s="9">
        <v>0.43648493370000002</v>
      </c>
      <c r="P23">
        <v>344223</v>
      </c>
      <c r="Q23" s="9">
        <v>0.31592148930000002</v>
      </c>
      <c r="R23">
        <f>Telengana_Results_2024[[#This Row],[BJP votes]]-Telengana_Results_2024[[#This Row],[Max Votes Other Than BJP]]</f>
        <v>-131364</v>
      </c>
      <c r="S23" s="10">
        <f>Telengana_Results_2024[[#This Row],[BJP vote share]]-Telengana_Results_2024[[#This Row],[Max Vote share other than bjp ]]</f>
        <v>-0.1205634444</v>
      </c>
      <c r="T23">
        <v>1597892</v>
      </c>
      <c r="U23" s="8">
        <v>0.68632423218000005</v>
      </c>
      <c r="V23" s="1" t="s">
        <v>68</v>
      </c>
    </row>
    <row r="24" spans="1:24" x14ac:dyDescent="0.35">
      <c r="A24">
        <v>2024</v>
      </c>
      <c r="B24" s="1" t="s">
        <v>19</v>
      </c>
      <c r="C24" s="1" t="s">
        <v>805</v>
      </c>
      <c r="D24" s="1" t="s">
        <v>815</v>
      </c>
      <c r="E24" s="1" t="s">
        <v>21</v>
      </c>
      <c r="F24" s="1" t="s">
        <v>117</v>
      </c>
      <c r="G24" s="1" t="s">
        <v>67</v>
      </c>
      <c r="H24" s="1" t="s">
        <v>53</v>
      </c>
      <c r="I24" s="1" t="s">
        <v>816</v>
      </c>
      <c r="J24">
        <v>1096672</v>
      </c>
      <c r="K24">
        <v>1089584</v>
      </c>
      <c r="L24">
        <v>3434</v>
      </c>
      <c r="M24" s="9">
        <v>3.1516615516000001E-3</v>
      </c>
      <c r="N24">
        <v>475587</v>
      </c>
      <c r="O24" s="9">
        <v>0.43648493370000002</v>
      </c>
      <c r="P24">
        <v>344223</v>
      </c>
      <c r="Q24" s="9">
        <v>0.31592148930000002</v>
      </c>
      <c r="R24">
        <f>Telengana_Results_2024[[#This Row],[BJP votes]]-Telengana_Results_2024[[#This Row],[Max Votes Other Than BJP]]</f>
        <v>-131364</v>
      </c>
      <c r="S24" s="10">
        <f>Telengana_Results_2024[[#This Row],[BJP vote share]]-Telengana_Results_2024[[#This Row],[Max Vote share other than bjp ]]</f>
        <v>-0.1205634444</v>
      </c>
      <c r="T24">
        <v>1597892</v>
      </c>
      <c r="U24" s="8">
        <v>0.68632423218000005</v>
      </c>
      <c r="V24" s="1" t="s">
        <v>68</v>
      </c>
    </row>
    <row r="25" spans="1:24" x14ac:dyDescent="0.35">
      <c r="A25">
        <v>2024</v>
      </c>
      <c r="B25" s="1" t="s">
        <v>19</v>
      </c>
      <c r="C25" s="1" t="s">
        <v>805</v>
      </c>
      <c r="D25" s="1" t="s">
        <v>817</v>
      </c>
      <c r="E25" s="1" t="s">
        <v>21</v>
      </c>
      <c r="F25" s="1" t="s">
        <v>44</v>
      </c>
      <c r="G25" s="1" t="s">
        <v>67</v>
      </c>
      <c r="H25" s="1" t="s">
        <v>53</v>
      </c>
      <c r="I25" s="1" t="s">
        <v>818</v>
      </c>
      <c r="J25">
        <v>1096672</v>
      </c>
      <c r="K25">
        <v>1089584</v>
      </c>
      <c r="L25">
        <v>2789</v>
      </c>
      <c r="M25" s="9">
        <v>2.5596925065000001E-3</v>
      </c>
      <c r="N25">
        <v>475587</v>
      </c>
      <c r="O25" s="9">
        <v>0.43648493370000002</v>
      </c>
      <c r="P25">
        <v>344223</v>
      </c>
      <c r="Q25" s="9">
        <v>0.31592148930000002</v>
      </c>
      <c r="R25">
        <f>Telengana_Results_2024[[#This Row],[BJP votes]]-Telengana_Results_2024[[#This Row],[Max Votes Other Than BJP]]</f>
        <v>-131364</v>
      </c>
      <c r="S25" s="10">
        <f>Telengana_Results_2024[[#This Row],[BJP vote share]]-Telengana_Results_2024[[#This Row],[Max Vote share other than bjp ]]</f>
        <v>-0.1205634444</v>
      </c>
      <c r="T25">
        <v>1597892</v>
      </c>
      <c r="U25" s="8">
        <v>0.68632423218000005</v>
      </c>
      <c r="V25" s="1" t="s">
        <v>68</v>
      </c>
    </row>
    <row r="26" spans="1:24" x14ac:dyDescent="0.35">
      <c r="A26">
        <v>2024</v>
      </c>
      <c r="B26" s="1" t="s">
        <v>19</v>
      </c>
      <c r="C26" s="1" t="s">
        <v>805</v>
      </c>
      <c r="D26" s="1" t="s">
        <v>819</v>
      </c>
      <c r="E26" s="1" t="s">
        <v>21</v>
      </c>
      <c r="F26" s="1" t="s">
        <v>59</v>
      </c>
      <c r="G26" s="1" t="s">
        <v>67</v>
      </c>
      <c r="H26" s="1" t="s">
        <v>560</v>
      </c>
      <c r="I26" s="1" t="s">
        <v>820</v>
      </c>
      <c r="J26">
        <v>1096672</v>
      </c>
      <c r="K26">
        <v>1089584</v>
      </c>
      <c r="L26">
        <v>2629</v>
      </c>
      <c r="M26" s="9">
        <v>2.4128474720999998E-3</v>
      </c>
      <c r="N26">
        <v>475587</v>
      </c>
      <c r="O26" s="9">
        <v>0.43648493370000002</v>
      </c>
      <c r="P26">
        <v>344223</v>
      </c>
      <c r="Q26" s="9">
        <v>0.31592148930000002</v>
      </c>
      <c r="R26">
        <f>Telengana_Results_2024[[#This Row],[BJP votes]]-Telengana_Results_2024[[#This Row],[Max Votes Other Than BJP]]</f>
        <v>-131364</v>
      </c>
      <c r="S26" s="10">
        <f>Telengana_Results_2024[[#This Row],[BJP vote share]]-Telengana_Results_2024[[#This Row],[Max Vote share other than bjp ]]</f>
        <v>-0.1205634444</v>
      </c>
      <c r="T26">
        <v>1597892</v>
      </c>
      <c r="U26" s="8">
        <v>0.68632423218000005</v>
      </c>
      <c r="V26" s="1" t="s">
        <v>68</v>
      </c>
    </row>
    <row r="27" spans="1:24" x14ac:dyDescent="0.35">
      <c r="A27">
        <v>2024</v>
      </c>
      <c r="B27" s="1" t="s">
        <v>19</v>
      </c>
      <c r="C27" s="1" t="s">
        <v>805</v>
      </c>
      <c r="D27" s="1" t="s">
        <v>821</v>
      </c>
      <c r="E27" s="1" t="s">
        <v>21</v>
      </c>
      <c r="F27" s="1" t="s">
        <v>120</v>
      </c>
      <c r="G27" s="1" t="s">
        <v>67</v>
      </c>
      <c r="H27" s="1" t="s">
        <v>822</v>
      </c>
      <c r="I27" s="1" t="s">
        <v>823</v>
      </c>
      <c r="J27">
        <v>1096672</v>
      </c>
      <c r="K27">
        <v>1089584</v>
      </c>
      <c r="L27">
        <v>2410</v>
      </c>
      <c r="M27" s="9">
        <v>2.2118533311999999E-3</v>
      </c>
      <c r="N27">
        <v>475587</v>
      </c>
      <c r="O27" s="9">
        <v>0.43648493370000002</v>
      </c>
      <c r="P27">
        <v>344223</v>
      </c>
      <c r="Q27" s="9">
        <v>0.31592148930000002</v>
      </c>
      <c r="R27">
        <f>Telengana_Results_2024[[#This Row],[BJP votes]]-Telengana_Results_2024[[#This Row],[Max Votes Other Than BJP]]</f>
        <v>-131364</v>
      </c>
      <c r="S27" s="10">
        <f>Telengana_Results_2024[[#This Row],[BJP vote share]]-Telengana_Results_2024[[#This Row],[Max Vote share other than bjp ]]</f>
        <v>-0.1205634444</v>
      </c>
      <c r="T27">
        <v>1597892</v>
      </c>
      <c r="U27" s="8">
        <v>0.68632423218000005</v>
      </c>
      <c r="V27" s="1" t="s">
        <v>68</v>
      </c>
    </row>
    <row r="28" spans="1:24" x14ac:dyDescent="0.35">
      <c r="A28">
        <v>2024</v>
      </c>
      <c r="B28" s="1" t="s">
        <v>19</v>
      </c>
      <c r="C28" s="1" t="s">
        <v>805</v>
      </c>
      <c r="D28" s="1" t="s">
        <v>824</v>
      </c>
      <c r="E28" s="1" t="s">
        <v>21</v>
      </c>
      <c r="F28" s="1" t="s">
        <v>106</v>
      </c>
      <c r="G28" s="1" t="s">
        <v>67</v>
      </c>
      <c r="H28" s="1" t="s">
        <v>53</v>
      </c>
      <c r="I28" s="1" t="s">
        <v>796</v>
      </c>
      <c r="J28">
        <v>1096672</v>
      </c>
      <c r="K28">
        <v>1089584</v>
      </c>
      <c r="L28">
        <v>2288</v>
      </c>
      <c r="M28" s="9">
        <v>2.0998839924000002E-3</v>
      </c>
      <c r="N28">
        <v>475587</v>
      </c>
      <c r="O28" s="9">
        <v>0.43648493370000002</v>
      </c>
      <c r="P28">
        <v>344223</v>
      </c>
      <c r="Q28" s="9">
        <v>0.31592148930000002</v>
      </c>
      <c r="R28">
        <f>Telengana_Results_2024[[#This Row],[BJP votes]]-Telengana_Results_2024[[#This Row],[Max Votes Other Than BJP]]</f>
        <v>-131364</v>
      </c>
      <c r="S28" s="10">
        <f>Telengana_Results_2024[[#This Row],[BJP vote share]]-Telengana_Results_2024[[#This Row],[Max Vote share other than bjp ]]</f>
        <v>-0.1205634444</v>
      </c>
      <c r="T28">
        <v>1597892</v>
      </c>
      <c r="U28" s="8">
        <v>0.68632423218000005</v>
      </c>
      <c r="V28" s="1" t="s">
        <v>68</v>
      </c>
    </row>
    <row r="29" spans="1:24" x14ac:dyDescent="0.35">
      <c r="A29">
        <v>2024</v>
      </c>
      <c r="B29" s="1" t="s">
        <v>19</v>
      </c>
      <c r="C29" s="1" t="s">
        <v>805</v>
      </c>
      <c r="D29" s="1" t="s">
        <v>825</v>
      </c>
      <c r="E29" s="1" t="s">
        <v>21</v>
      </c>
      <c r="F29" s="1" t="s">
        <v>95</v>
      </c>
      <c r="G29" s="1" t="s">
        <v>67</v>
      </c>
      <c r="H29" s="1" t="s">
        <v>554</v>
      </c>
      <c r="I29" s="1" t="s">
        <v>826</v>
      </c>
      <c r="J29">
        <v>1096672</v>
      </c>
      <c r="K29">
        <v>1089584</v>
      </c>
      <c r="L29">
        <v>2269</v>
      </c>
      <c r="M29" s="9">
        <v>2.0824461445999999E-3</v>
      </c>
      <c r="N29">
        <v>475587</v>
      </c>
      <c r="O29" s="9">
        <v>0.43648493370000002</v>
      </c>
      <c r="P29">
        <v>344223</v>
      </c>
      <c r="Q29" s="9">
        <v>0.31592148930000002</v>
      </c>
      <c r="R29">
        <f>Telengana_Results_2024[[#This Row],[BJP votes]]-Telengana_Results_2024[[#This Row],[Max Votes Other Than BJP]]</f>
        <v>-131364</v>
      </c>
      <c r="S29" s="10">
        <f>Telengana_Results_2024[[#This Row],[BJP vote share]]-Telengana_Results_2024[[#This Row],[Max Vote share other than bjp ]]</f>
        <v>-0.1205634444</v>
      </c>
      <c r="T29">
        <v>1597892</v>
      </c>
      <c r="U29" s="8">
        <v>0.68632423218000005</v>
      </c>
      <c r="V29" s="1" t="s">
        <v>68</v>
      </c>
    </row>
    <row r="30" spans="1:24" x14ac:dyDescent="0.35">
      <c r="A30">
        <v>2024</v>
      </c>
      <c r="B30" s="1" t="s">
        <v>19</v>
      </c>
      <c r="C30" s="1" t="s">
        <v>805</v>
      </c>
      <c r="D30" s="1" t="s">
        <v>827</v>
      </c>
      <c r="E30" s="1" t="s">
        <v>35</v>
      </c>
      <c r="F30" s="1" t="s">
        <v>125</v>
      </c>
      <c r="G30" s="1" t="s">
        <v>67</v>
      </c>
      <c r="H30" s="1" t="s">
        <v>77</v>
      </c>
      <c r="I30" s="1" t="s">
        <v>828</v>
      </c>
      <c r="J30">
        <v>1096672</v>
      </c>
      <c r="K30">
        <v>1089584</v>
      </c>
      <c r="L30">
        <v>2125</v>
      </c>
      <c r="M30" s="9">
        <v>1.9502856136E-3</v>
      </c>
      <c r="N30">
        <v>475587</v>
      </c>
      <c r="O30" s="9">
        <v>0.43648493370000002</v>
      </c>
      <c r="P30">
        <v>344223</v>
      </c>
      <c r="Q30" s="9">
        <v>0.31592148930000002</v>
      </c>
      <c r="R30">
        <f>Telengana_Results_2024[[#This Row],[BJP votes]]-Telengana_Results_2024[[#This Row],[Max Votes Other Than BJP]]</f>
        <v>-131364</v>
      </c>
      <c r="S30" s="10">
        <f>Telengana_Results_2024[[#This Row],[BJP vote share]]-Telengana_Results_2024[[#This Row],[Max Vote share other than bjp ]]</f>
        <v>-0.1205634444</v>
      </c>
      <c r="T30">
        <v>1597892</v>
      </c>
      <c r="U30" s="8">
        <v>0.68632423218000005</v>
      </c>
      <c r="V30" s="1" t="s">
        <v>68</v>
      </c>
    </row>
    <row r="31" spans="1:24" x14ac:dyDescent="0.35">
      <c r="A31">
        <v>2024</v>
      </c>
      <c r="B31" s="1" t="s">
        <v>19</v>
      </c>
      <c r="C31" s="1" t="s">
        <v>805</v>
      </c>
      <c r="D31" s="1" t="s">
        <v>829</v>
      </c>
      <c r="E31" s="1" t="s">
        <v>21</v>
      </c>
      <c r="F31" s="1" t="s">
        <v>143</v>
      </c>
      <c r="G31" s="1" t="s">
        <v>67</v>
      </c>
      <c r="H31" s="1" t="s">
        <v>53</v>
      </c>
      <c r="I31" s="1" t="s">
        <v>830</v>
      </c>
      <c r="J31">
        <v>1096672</v>
      </c>
      <c r="K31">
        <v>1089584</v>
      </c>
      <c r="L31">
        <v>2081</v>
      </c>
      <c r="M31" s="9">
        <v>1.9099032290999999E-3</v>
      </c>
      <c r="N31">
        <v>475587</v>
      </c>
      <c r="O31" s="9">
        <v>0.43648493370000002</v>
      </c>
      <c r="P31">
        <v>344223</v>
      </c>
      <c r="Q31" s="9">
        <v>0.31592148930000002</v>
      </c>
      <c r="R31">
        <f>Telengana_Results_2024[[#This Row],[BJP votes]]-Telengana_Results_2024[[#This Row],[Max Votes Other Than BJP]]</f>
        <v>-131364</v>
      </c>
      <c r="S31" s="10">
        <f>Telengana_Results_2024[[#This Row],[BJP vote share]]-Telengana_Results_2024[[#This Row],[Max Vote share other than bjp ]]</f>
        <v>-0.1205634444</v>
      </c>
      <c r="T31">
        <v>1597892</v>
      </c>
      <c r="U31" s="8">
        <v>0.68632423218000005</v>
      </c>
      <c r="V31" s="1" t="s">
        <v>68</v>
      </c>
    </row>
    <row r="32" spans="1:24" x14ac:dyDescent="0.35">
      <c r="A32">
        <v>2024</v>
      </c>
      <c r="B32" s="1" t="s">
        <v>19</v>
      </c>
      <c r="C32" s="1" t="s">
        <v>805</v>
      </c>
      <c r="D32" s="1" t="s">
        <v>831</v>
      </c>
      <c r="E32" s="1" t="s">
        <v>21</v>
      </c>
      <c r="F32" s="1" t="s">
        <v>106</v>
      </c>
      <c r="G32" s="1" t="s">
        <v>67</v>
      </c>
      <c r="H32" s="1" t="s">
        <v>53</v>
      </c>
      <c r="I32" s="1" t="s">
        <v>54</v>
      </c>
      <c r="J32">
        <v>1096672</v>
      </c>
      <c r="K32">
        <v>1089584</v>
      </c>
      <c r="L32">
        <v>2067</v>
      </c>
      <c r="M32" s="9">
        <v>1.8970542886E-3</v>
      </c>
      <c r="N32">
        <v>475587</v>
      </c>
      <c r="O32" s="9">
        <v>0.43648493370000002</v>
      </c>
      <c r="P32">
        <v>344223</v>
      </c>
      <c r="Q32" s="9">
        <v>0.31592148930000002</v>
      </c>
      <c r="R32">
        <f>Telengana_Results_2024[[#This Row],[BJP votes]]-Telengana_Results_2024[[#This Row],[Max Votes Other Than BJP]]</f>
        <v>-131364</v>
      </c>
      <c r="S32" s="10">
        <f>Telengana_Results_2024[[#This Row],[BJP vote share]]-Telengana_Results_2024[[#This Row],[Max Vote share other than bjp ]]</f>
        <v>-0.1205634444</v>
      </c>
      <c r="T32">
        <v>1597892</v>
      </c>
      <c r="U32" s="8">
        <v>0.68632423218000005</v>
      </c>
      <c r="V32" s="1" t="s">
        <v>68</v>
      </c>
    </row>
    <row r="33" spans="1:22" x14ac:dyDescent="0.35">
      <c r="A33">
        <v>2024</v>
      </c>
      <c r="B33" s="1" t="s">
        <v>19</v>
      </c>
      <c r="C33" s="1" t="s">
        <v>805</v>
      </c>
      <c r="D33" s="1" t="s">
        <v>832</v>
      </c>
      <c r="E33" s="1" t="s">
        <v>21</v>
      </c>
      <c r="F33" s="1" t="s">
        <v>56</v>
      </c>
      <c r="G33" s="1" t="s">
        <v>67</v>
      </c>
      <c r="H33" s="1" t="s">
        <v>53</v>
      </c>
      <c r="I33" s="1" t="s">
        <v>184</v>
      </c>
      <c r="J33">
        <v>1096672</v>
      </c>
      <c r="K33">
        <v>1089584</v>
      </c>
      <c r="L33">
        <v>1902</v>
      </c>
      <c r="M33" s="9">
        <v>1.7456203468E-3</v>
      </c>
      <c r="N33">
        <v>475587</v>
      </c>
      <c r="O33" s="9">
        <v>0.43648493370000002</v>
      </c>
      <c r="P33">
        <v>344223</v>
      </c>
      <c r="Q33" s="9">
        <v>0.31592148930000002</v>
      </c>
      <c r="R33">
        <f>Telengana_Results_2024[[#This Row],[BJP votes]]-Telengana_Results_2024[[#This Row],[Max Votes Other Than BJP]]</f>
        <v>-131364</v>
      </c>
      <c r="S33" s="10">
        <f>Telengana_Results_2024[[#This Row],[BJP vote share]]-Telengana_Results_2024[[#This Row],[Max Vote share other than bjp ]]</f>
        <v>-0.1205634444</v>
      </c>
      <c r="T33">
        <v>1597892</v>
      </c>
      <c r="U33" s="8">
        <v>0.68632423218000005</v>
      </c>
      <c r="V33" s="1" t="s">
        <v>68</v>
      </c>
    </row>
    <row r="34" spans="1:22" x14ac:dyDescent="0.35">
      <c r="A34">
        <v>2024</v>
      </c>
      <c r="B34" s="1" t="s">
        <v>19</v>
      </c>
      <c r="C34" s="1" t="s">
        <v>805</v>
      </c>
      <c r="D34" s="1" t="s">
        <v>833</v>
      </c>
      <c r="E34" s="1" t="s">
        <v>21</v>
      </c>
      <c r="F34" s="1" t="s">
        <v>80</v>
      </c>
      <c r="G34" s="1" t="s">
        <v>67</v>
      </c>
      <c r="H34" s="1" t="s">
        <v>53</v>
      </c>
      <c r="I34" s="1" t="s">
        <v>161</v>
      </c>
      <c r="J34">
        <v>1096672</v>
      </c>
      <c r="K34">
        <v>1089584</v>
      </c>
      <c r="L34">
        <v>1872</v>
      </c>
      <c r="M34" s="9">
        <v>1.7180869029E-3</v>
      </c>
      <c r="N34">
        <v>475587</v>
      </c>
      <c r="O34" s="9">
        <v>0.43648493370000002</v>
      </c>
      <c r="P34">
        <v>344223</v>
      </c>
      <c r="Q34" s="9">
        <v>0.31592148930000002</v>
      </c>
      <c r="R34">
        <f>Telengana_Results_2024[[#This Row],[BJP votes]]-Telengana_Results_2024[[#This Row],[Max Votes Other Than BJP]]</f>
        <v>-131364</v>
      </c>
      <c r="S34" s="10">
        <f>Telengana_Results_2024[[#This Row],[BJP vote share]]-Telengana_Results_2024[[#This Row],[Max Vote share other than bjp ]]</f>
        <v>-0.1205634444</v>
      </c>
      <c r="T34">
        <v>1597892</v>
      </c>
      <c r="U34" s="8">
        <v>0.68632423218000005</v>
      </c>
      <c r="V34" s="1" t="s">
        <v>68</v>
      </c>
    </row>
    <row r="35" spans="1:22" x14ac:dyDescent="0.35">
      <c r="A35">
        <v>2024</v>
      </c>
      <c r="B35" s="1" t="s">
        <v>19</v>
      </c>
      <c r="C35" s="1" t="s">
        <v>805</v>
      </c>
      <c r="D35" s="1" t="s">
        <v>834</v>
      </c>
      <c r="E35" s="1" t="s">
        <v>21</v>
      </c>
      <c r="F35" s="1" t="s">
        <v>145</v>
      </c>
      <c r="G35" s="1" t="s">
        <v>67</v>
      </c>
      <c r="H35" s="1" t="s">
        <v>53</v>
      </c>
      <c r="I35" s="1" t="s">
        <v>208</v>
      </c>
      <c r="J35">
        <v>1096672</v>
      </c>
      <c r="K35">
        <v>1089584</v>
      </c>
      <c r="L35">
        <v>1747</v>
      </c>
      <c r="M35" s="9">
        <v>1.6033642197000001E-3</v>
      </c>
      <c r="N35">
        <v>475587</v>
      </c>
      <c r="O35" s="9">
        <v>0.43648493370000002</v>
      </c>
      <c r="P35">
        <v>344223</v>
      </c>
      <c r="Q35" s="9">
        <v>0.31592148930000002</v>
      </c>
      <c r="R35">
        <f>Telengana_Results_2024[[#This Row],[BJP votes]]-Telengana_Results_2024[[#This Row],[Max Votes Other Than BJP]]</f>
        <v>-131364</v>
      </c>
      <c r="S35" s="10">
        <f>Telengana_Results_2024[[#This Row],[BJP vote share]]-Telengana_Results_2024[[#This Row],[Max Vote share other than bjp ]]</f>
        <v>-0.1205634444</v>
      </c>
      <c r="T35">
        <v>1597892</v>
      </c>
      <c r="U35" s="8">
        <v>0.68632423218000005</v>
      </c>
      <c r="V35" s="1" t="s">
        <v>68</v>
      </c>
    </row>
    <row r="36" spans="1:22" x14ac:dyDescent="0.35">
      <c r="A36">
        <v>2024</v>
      </c>
      <c r="B36" s="1" t="s">
        <v>19</v>
      </c>
      <c r="C36" s="1" t="s">
        <v>805</v>
      </c>
      <c r="D36" s="1" t="s">
        <v>835</v>
      </c>
      <c r="E36" s="1" t="s">
        <v>21</v>
      </c>
      <c r="F36" s="1" t="s">
        <v>71</v>
      </c>
      <c r="G36" s="1" t="s">
        <v>67</v>
      </c>
      <c r="H36" s="1" t="s">
        <v>53</v>
      </c>
      <c r="I36" s="1" t="s">
        <v>491</v>
      </c>
      <c r="J36">
        <v>1096672</v>
      </c>
      <c r="K36">
        <v>1089584</v>
      </c>
      <c r="L36">
        <v>1734</v>
      </c>
      <c r="M36" s="9">
        <v>1.5914330607000001E-3</v>
      </c>
      <c r="N36">
        <v>475587</v>
      </c>
      <c r="O36" s="9">
        <v>0.43648493370000002</v>
      </c>
      <c r="P36">
        <v>344223</v>
      </c>
      <c r="Q36" s="9">
        <v>0.31592148930000002</v>
      </c>
      <c r="R36">
        <f>Telengana_Results_2024[[#This Row],[BJP votes]]-Telengana_Results_2024[[#This Row],[Max Votes Other Than BJP]]</f>
        <v>-131364</v>
      </c>
      <c r="S36" s="10">
        <f>Telengana_Results_2024[[#This Row],[BJP vote share]]-Telengana_Results_2024[[#This Row],[Max Vote share other than bjp ]]</f>
        <v>-0.1205634444</v>
      </c>
      <c r="T36">
        <v>1597892</v>
      </c>
      <c r="U36" s="8">
        <v>0.68632423218000005</v>
      </c>
      <c r="V36" s="1" t="s">
        <v>68</v>
      </c>
    </row>
    <row r="37" spans="1:22" x14ac:dyDescent="0.35">
      <c r="A37">
        <v>2024</v>
      </c>
      <c r="B37" s="1" t="s">
        <v>19</v>
      </c>
      <c r="C37" s="1" t="s">
        <v>805</v>
      </c>
      <c r="D37" s="1" t="s">
        <v>836</v>
      </c>
      <c r="E37" s="1" t="s">
        <v>21</v>
      </c>
      <c r="F37" s="1" t="s">
        <v>160</v>
      </c>
      <c r="G37" s="1" t="s">
        <v>67</v>
      </c>
      <c r="H37" s="1" t="s">
        <v>53</v>
      </c>
      <c r="I37" s="1" t="s">
        <v>457</v>
      </c>
      <c r="J37">
        <v>1096672</v>
      </c>
      <c r="K37">
        <v>1089584</v>
      </c>
      <c r="L37">
        <v>1669</v>
      </c>
      <c r="M37" s="9">
        <v>1.5317772655E-3</v>
      </c>
      <c r="N37">
        <v>475587</v>
      </c>
      <c r="O37" s="9">
        <v>0.43648493370000002</v>
      </c>
      <c r="P37">
        <v>344223</v>
      </c>
      <c r="Q37" s="9">
        <v>0.31592148930000002</v>
      </c>
      <c r="R37">
        <f>Telengana_Results_2024[[#This Row],[BJP votes]]-Telengana_Results_2024[[#This Row],[Max Votes Other Than BJP]]</f>
        <v>-131364</v>
      </c>
      <c r="S37" s="10">
        <f>Telengana_Results_2024[[#This Row],[BJP vote share]]-Telengana_Results_2024[[#This Row],[Max Vote share other than bjp ]]</f>
        <v>-0.1205634444</v>
      </c>
      <c r="T37">
        <v>1597892</v>
      </c>
      <c r="U37" s="8">
        <v>0.68632423218000005</v>
      </c>
      <c r="V37" s="1" t="s">
        <v>68</v>
      </c>
    </row>
    <row r="38" spans="1:22" x14ac:dyDescent="0.35">
      <c r="A38">
        <v>2024</v>
      </c>
      <c r="B38" s="1" t="s">
        <v>19</v>
      </c>
      <c r="C38" s="1" t="s">
        <v>805</v>
      </c>
      <c r="D38" s="1" t="s">
        <v>837</v>
      </c>
      <c r="E38" s="1" t="s">
        <v>21</v>
      </c>
      <c r="F38" s="1" t="s">
        <v>99</v>
      </c>
      <c r="G38" s="1" t="s">
        <v>67</v>
      </c>
      <c r="H38" s="1" t="s">
        <v>838</v>
      </c>
      <c r="I38" s="1" t="s">
        <v>232</v>
      </c>
      <c r="J38">
        <v>1096672</v>
      </c>
      <c r="K38">
        <v>1089584</v>
      </c>
      <c r="L38">
        <v>1614</v>
      </c>
      <c r="M38" s="9">
        <v>1.4812992849E-3</v>
      </c>
      <c r="N38">
        <v>475587</v>
      </c>
      <c r="O38" s="9">
        <v>0.43648493370000002</v>
      </c>
      <c r="P38">
        <v>344223</v>
      </c>
      <c r="Q38" s="9">
        <v>0.31592148930000002</v>
      </c>
      <c r="R38">
        <f>Telengana_Results_2024[[#This Row],[BJP votes]]-Telengana_Results_2024[[#This Row],[Max Votes Other Than BJP]]</f>
        <v>-131364</v>
      </c>
      <c r="S38" s="10">
        <f>Telengana_Results_2024[[#This Row],[BJP vote share]]-Telengana_Results_2024[[#This Row],[Max Vote share other than bjp ]]</f>
        <v>-0.1205634444</v>
      </c>
      <c r="T38">
        <v>1597892</v>
      </c>
      <c r="U38" s="8">
        <v>0.68632423218000005</v>
      </c>
      <c r="V38" s="1" t="s">
        <v>68</v>
      </c>
    </row>
    <row r="39" spans="1:22" x14ac:dyDescent="0.35">
      <c r="A39">
        <v>2024</v>
      </c>
      <c r="B39" s="1" t="s">
        <v>19</v>
      </c>
      <c r="C39" s="1" t="s">
        <v>805</v>
      </c>
      <c r="D39" s="1" t="s">
        <v>839</v>
      </c>
      <c r="E39" s="1" t="s">
        <v>21</v>
      </c>
      <c r="F39" s="1" t="s">
        <v>353</v>
      </c>
      <c r="G39" s="1" t="s">
        <v>67</v>
      </c>
      <c r="H39" s="1" t="s">
        <v>53</v>
      </c>
      <c r="I39" s="1" t="s">
        <v>57</v>
      </c>
      <c r="J39">
        <v>1096672</v>
      </c>
      <c r="K39">
        <v>1089584</v>
      </c>
      <c r="L39">
        <v>1504</v>
      </c>
      <c r="M39" s="9">
        <v>1.3803433237E-3</v>
      </c>
      <c r="N39">
        <v>475587</v>
      </c>
      <c r="O39" s="9">
        <v>0.43648493370000002</v>
      </c>
      <c r="P39">
        <v>344223</v>
      </c>
      <c r="Q39" s="9">
        <v>0.31592148930000002</v>
      </c>
      <c r="R39">
        <f>Telengana_Results_2024[[#This Row],[BJP votes]]-Telengana_Results_2024[[#This Row],[Max Votes Other Than BJP]]</f>
        <v>-131364</v>
      </c>
      <c r="S39" s="10">
        <f>Telengana_Results_2024[[#This Row],[BJP vote share]]-Telengana_Results_2024[[#This Row],[Max Vote share other than bjp ]]</f>
        <v>-0.1205634444</v>
      </c>
      <c r="T39">
        <v>1597892</v>
      </c>
      <c r="U39" s="8">
        <v>0.68632423218000005</v>
      </c>
      <c r="V39" s="1" t="s">
        <v>68</v>
      </c>
    </row>
    <row r="40" spans="1:22" x14ac:dyDescent="0.35">
      <c r="A40">
        <v>2024</v>
      </c>
      <c r="B40" s="1" t="s">
        <v>19</v>
      </c>
      <c r="C40" s="1" t="s">
        <v>805</v>
      </c>
      <c r="D40" s="1" t="s">
        <v>840</v>
      </c>
      <c r="E40" s="1" t="s">
        <v>21</v>
      </c>
      <c r="F40" s="1" t="s">
        <v>125</v>
      </c>
      <c r="G40" s="1" t="s">
        <v>67</v>
      </c>
      <c r="H40" s="1" t="s">
        <v>53</v>
      </c>
      <c r="I40" s="1" t="s">
        <v>841</v>
      </c>
      <c r="J40">
        <v>1096672</v>
      </c>
      <c r="K40">
        <v>1089584</v>
      </c>
      <c r="L40">
        <v>1496</v>
      </c>
      <c r="M40" s="9">
        <v>1.3730010719999999E-3</v>
      </c>
      <c r="N40">
        <v>475587</v>
      </c>
      <c r="O40" s="9">
        <v>0.43648493370000002</v>
      </c>
      <c r="P40">
        <v>344223</v>
      </c>
      <c r="Q40" s="9">
        <v>0.31592148930000002</v>
      </c>
      <c r="R40">
        <f>Telengana_Results_2024[[#This Row],[BJP votes]]-Telengana_Results_2024[[#This Row],[Max Votes Other Than BJP]]</f>
        <v>-131364</v>
      </c>
      <c r="S40" s="10">
        <f>Telengana_Results_2024[[#This Row],[BJP vote share]]-Telengana_Results_2024[[#This Row],[Max Vote share other than bjp ]]</f>
        <v>-0.1205634444</v>
      </c>
      <c r="T40">
        <v>1597892</v>
      </c>
      <c r="U40" s="8">
        <v>0.68632423218000005</v>
      </c>
      <c r="V40" s="1" t="s">
        <v>68</v>
      </c>
    </row>
    <row r="41" spans="1:22" x14ac:dyDescent="0.35">
      <c r="A41">
        <v>2024</v>
      </c>
      <c r="B41" s="1" t="s">
        <v>19</v>
      </c>
      <c r="C41" s="1" t="s">
        <v>805</v>
      </c>
      <c r="D41" s="1" t="s">
        <v>842</v>
      </c>
      <c r="E41" s="1" t="s">
        <v>21</v>
      </c>
      <c r="F41" s="1" t="s">
        <v>183</v>
      </c>
      <c r="G41" s="1" t="s">
        <v>67</v>
      </c>
      <c r="H41" s="1" t="s">
        <v>53</v>
      </c>
      <c r="I41" s="1" t="s">
        <v>843</v>
      </c>
      <c r="J41">
        <v>1096672</v>
      </c>
      <c r="K41">
        <v>1089584</v>
      </c>
      <c r="L41">
        <v>1393</v>
      </c>
      <c r="M41" s="9">
        <v>1.2784695810999999E-3</v>
      </c>
      <c r="N41">
        <v>475587</v>
      </c>
      <c r="O41" s="9">
        <v>0.43648493370000002</v>
      </c>
      <c r="P41">
        <v>344223</v>
      </c>
      <c r="Q41" s="9">
        <v>0.31592148930000002</v>
      </c>
      <c r="R41">
        <f>Telengana_Results_2024[[#This Row],[BJP votes]]-Telengana_Results_2024[[#This Row],[Max Votes Other Than BJP]]</f>
        <v>-131364</v>
      </c>
      <c r="S41" s="10">
        <f>Telengana_Results_2024[[#This Row],[BJP vote share]]-Telengana_Results_2024[[#This Row],[Max Vote share other than bjp ]]</f>
        <v>-0.1205634444</v>
      </c>
      <c r="T41">
        <v>1597892</v>
      </c>
      <c r="U41" s="8">
        <v>0.68632423218000005</v>
      </c>
      <c r="V41" s="1" t="s">
        <v>68</v>
      </c>
    </row>
    <row r="42" spans="1:22" x14ac:dyDescent="0.35">
      <c r="A42">
        <v>2024</v>
      </c>
      <c r="B42" s="1" t="s">
        <v>19</v>
      </c>
      <c r="C42" s="1" t="s">
        <v>805</v>
      </c>
      <c r="D42" s="1" t="s">
        <v>844</v>
      </c>
      <c r="E42" s="1" t="s">
        <v>21</v>
      </c>
      <c r="F42" s="1" t="s">
        <v>183</v>
      </c>
      <c r="G42" s="1" t="s">
        <v>67</v>
      </c>
      <c r="H42" s="1" t="s">
        <v>53</v>
      </c>
      <c r="I42" s="1" t="s">
        <v>139</v>
      </c>
      <c r="J42">
        <v>1096672</v>
      </c>
      <c r="K42">
        <v>1089584</v>
      </c>
      <c r="L42">
        <v>1388</v>
      </c>
      <c r="M42" s="9">
        <v>1.2738806737000001E-3</v>
      </c>
      <c r="N42">
        <v>475587</v>
      </c>
      <c r="O42" s="9">
        <v>0.43648493370000002</v>
      </c>
      <c r="P42">
        <v>344223</v>
      </c>
      <c r="Q42" s="9">
        <v>0.31592148930000002</v>
      </c>
      <c r="R42">
        <f>Telengana_Results_2024[[#This Row],[BJP votes]]-Telengana_Results_2024[[#This Row],[Max Votes Other Than BJP]]</f>
        <v>-131364</v>
      </c>
      <c r="S42" s="10">
        <f>Telengana_Results_2024[[#This Row],[BJP vote share]]-Telengana_Results_2024[[#This Row],[Max Vote share other than bjp ]]</f>
        <v>-0.1205634444</v>
      </c>
      <c r="T42">
        <v>1597892</v>
      </c>
      <c r="U42" s="8">
        <v>0.68632423218000005</v>
      </c>
      <c r="V42" s="1" t="s">
        <v>68</v>
      </c>
    </row>
    <row r="43" spans="1:22" x14ac:dyDescent="0.35">
      <c r="A43">
        <v>2024</v>
      </c>
      <c r="B43" s="1" t="s">
        <v>19</v>
      </c>
      <c r="C43" s="1" t="s">
        <v>805</v>
      </c>
      <c r="D43" s="1" t="s">
        <v>845</v>
      </c>
      <c r="E43" s="1" t="s">
        <v>21</v>
      </c>
      <c r="F43" s="1" t="s">
        <v>75</v>
      </c>
      <c r="G43" s="1" t="s">
        <v>67</v>
      </c>
      <c r="H43" s="1" t="s">
        <v>53</v>
      </c>
      <c r="I43" s="1" t="s">
        <v>846</v>
      </c>
      <c r="J43">
        <v>1096672</v>
      </c>
      <c r="K43">
        <v>1089584</v>
      </c>
      <c r="L43">
        <v>1272</v>
      </c>
      <c r="M43" s="9">
        <v>1.1674180238000001E-3</v>
      </c>
      <c r="N43">
        <v>475587</v>
      </c>
      <c r="O43" s="9">
        <v>0.43648493370000002</v>
      </c>
      <c r="P43">
        <v>344223</v>
      </c>
      <c r="Q43" s="9">
        <v>0.31592148930000002</v>
      </c>
      <c r="R43">
        <f>Telengana_Results_2024[[#This Row],[BJP votes]]-Telengana_Results_2024[[#This Row],[Max Votes Other Than BJP]]</f>
        <v>-131364</v>
      </c>
      <c r="S43" s="10">
        <f>Telengana_Results_2024[[#This Row],[BJP vote share]]-Telengana_Results_2024[[#This Row],[Max Vote share other than bjp ]]</f>
        <v>-0.1205634444</v>
      </c>
      <c r="T43">
        <v>1597892</v>
      </c>
      <c r="U43" s="8">
        <v>0.68632423218000005</v>
      </c>
      <c r="V43" s="1" t="s">
        <v>68</v>
      </c>
    </row>
    <row r="44" spans="1:22" x14ac:dyDescent="0.35">
      <c r="A44">
        <v>2024</v>
      </c>
      <c r="B44" s="1" t="s">
        <v>19</v>
      </c>
      <c r="C44" s="1" t="s">
        <v>805</v>
      </c>
      <c r="D44" s="1" t="s">
        <v>847</v>
      </c>
      <c r="E44" s="1" t="s">
        <v>21</v>
      </c>
      <c r="F44" s="1" t="s">
        <v>22</v>
      </c>
      <c r="G44" s="1" t="s">
        <v>67</v>
      </c>
      <c r="H44" s="1" t="s">
        <v>53</v>
      </c>
      <c r="I44" s="1" t="s">
        <v>848</v>
      </c>
      <c r="J44">
        <v>1096672</v>
      </c>
      <c r="K44">
        <v>1089584</v>
      </c>
      <c r="L44">
        <v>1217</v>
      </c>
      <c r="M44" s="9">
        <v>1.1169400432000001E-3</v>
      </c>
      <c r="N44">
        <v>475587</v>
      </c>
      <c r="O44" s="9">
        <v>0.43648493370000002</v>
      </c>
      <c r="P44">
        <v>344223</v>
      </c>
      <c r="Q44" s="9">
        <v>0.31592148930000002</v>
      </c>
      <c r="R44">
        <f>Telengana_Results_2024[[#This Row],[BJP votes]]-Telengana_Results_2024[[#This Row],[Max Votes Other Than BJP]]</f>
        <v>-131364</v>
      </c>
      <c r="S44" s="10">
        <f>Telengana_Results_2024[[#This Row],[BJP vote share]]-Telengana_Results_2024[[#This Row],[Max Vote share other than bjp ]]</f>
        <v>-0.1205634444</v>
      </c>
      <c r="T44">
        <v>1597892</v>
      </c>
      <c r="U44" s="8">
        <v>0.68632423218000005</v>
      </c>
      <c r="V44" s="1" t="s">
        <v>68</v>
      </c>
    </row>
    <row r="45" spans="1:22" x14ac:dyDescent="0.35">
      <c r="A45">
        <v>2024</v>
      </c>
      <c r="B45" s="1" t="s">
        <v>19</v>
      </c>
      <c r="C45" s="1" t="s">
        <v>805</v>
      </c>
      <c r="D45" s="1" t="s">
        <v>849</v>
      </c>
      <c r="E45" s="1" t="s">
        <v>21</v>
      </c>
      <c r="F45" s="1" t="s">
        <v>125</v>
      </c>
      <c r="G45" s="1" t="s">
        <v>67</v>
      </c>
      <c r="H45" s="1" t="s">
        <v>53</v>
      </c>
      <c r="I45" s="1" t="s">
        <v>427</v>
      </c>
      <c r="J45">
        <v>1096672</v>
      </c>
      <c r="K45">
        <v>1089584</v>
      </c>
      <c r="L45">
        <v>1167</v>
      </c>
      <c r="M45" s="9">
        <v>1.0710509699E-3</v>
      </c>
      <c r="N45">
        <v>475587</v>
      </c>
      <c r="O45" s="9">
        <v>0.43648493370000002</v>
      </c>
      <c r="P45">
        <v>344223</v>
      </c>
      <c r="Q45" s="9">
        <v>0.31592148930000002</v>
      </c>
      <c r="R45">
        <f>Telengana_Results_2024[[#This Row],[BJP votes]]-Telengana_Results_2024[[#This Row],[Max Votes Other Than BJP]]</f>
        <v>-131364</v>
      </c>
      <c r="S45" s="10">
        <f>Telengana_Results_2024[[#This Row],[BJP vote share]]-Telengana_Results_2024[[#This Row],[Max Vote share other than bjp ]]</f>
        <v>-0.1205634444</v>
      </c>
      <c r="T45">
        <v>1597892</v>
      </c>
      <c r="U45" s="8">
        <v>0.68632423218000005</v>
      </c>
      <c r="V45" s="1" t="s">
        <v>68</v>
      </c>
    </row>
    <row r="46" spans="1:22" x14ac:dyDescent="0.35">
      <c r="A46">
        <v>2024</v>
      </c>
      <c r="B46" s="1" t="s">
        <v>19</v>
      </c>
      <c r="C46" s="1" t="s">
        <v>805</v>
      </c>
      <c r="D46" s="1" t="s">
        <v>850</v>
      </c>
      <c r="E46" s="1" t="s">
        <v>21</v>
      </c>
      <c r="F46" s="1" t="s">
        <v>117</v>
      </c>
      <c r="G46" s="1" t="s">
        <v>67</v>
      </c>
      <c r="H46" s="1" t="s">
        <v>53</v>
      </c>
      <c r="I46" s="1" t="s">
        <v>851</v>
      </c>
      <c r="J46">
        <v>1096672</v>
      </c>
      <c r="K46">
        <v>1089584</v>
      </c>
      <c r="L46">
        <v>1123</v>
      </c>
      <c r="M46" s="9">
        <v>1.0306685854E-3</v>
      </c>
      <c r="N46">
        <v>475587</v>
      </c>
      <c r="O46" s="9">
        <v>0.43648493370000002</v>
      </c>
      <c r="P46">
        <v>344223</v>
      </c>
      <c r="Q46" s="9">
        <v>0.31592148930000002</v>
      </c>
      <c r="R46">
        <f>Telengana_Results_2024[[#This Row],[BJP votes]]-Telengana_Results_2024[[#This Row],[Max Votes Other Than BJP]]</f>
        <v>-131364</v>
      </c>
      <c r="S46" s="10">
        <f>Telengana_Results_2024[[#This Row],[BJP vote share]]-Telengana_Results_2024[[#This Row],[Max Vote share other than bjp ]]</f>
        <v>-0.1205634444</v>
      </c>
      <c r="T46">
        <v>1597892</v>
      </c>
      <c r="U46" s="8">
        <v>0.68632423218000005</v>
      </c>
      <c r="V46" s="1" t="s">
        <v>68</v>
      </c>
    </row>
    <row r="47" spans="1:22" x14ac:dyDescent="0.35">
      <c r="A47">
        <v>2024</v>
      </c>
      <c r="B47" s="1" t="s">
        <v>19</v>
      </c>
      <c r="C47" s="1" t="s">
        <v>805</v>
      </c>
      <c r="D47" s="1" t="s">
        <v>852</v>
      </c>
      <c r="E47" s="1" t="s">
        <v>21</v>
      </c>
      <c r="F47" s="1" t="s">
        <v>44</v>
      </c>
      <c r="G47" s="1" t="s">
        <v>67</v>
      </c>
      <c r="H47" s="1" t="s">
        <v>853</v>
      </c>
      <c r="I47" s="1" t="s">
        <v>791</v>
      </c>
      <c r="J47">
        <v>1096672</v>
      </c>
      <c r="K47">
        <v>1089584</v>
      </c>
      <c r="L47">
        <v>1093</v>
      </c>
      <c r="M47" s="9">
        <v>1.0031351414999999E-3</v>
      </c>
      <c r="N47">
        <v>475587</v>
      </c>
      <c r="O47" s="9">
        <v>0.43648493370000002</v>
      </c>
      <c r="P47">
        <v>344223</v>
      </c>
      <c r="Q47" s="9">
        <v>0.31592148930000002</v>
      </c>
      <c r="R47">
        <f>Telengana_Results_2024[[#This Row],[BJP votes]]-Telengana_Results_2024[[#This Row],[Max Votes Other Than BJP]]</f>
        <v>-131364</v>
      </c>
      <c r="S47" s="10">
        <f>Telengana_Results_2024[[#This Row],[BJP vote share]]-Telengana_Results_2024[[#This Row],[Max Vote share other than bjp ]]</f>
        <v>-0.1205634444</v>
      </c>
      <c r="T47">
        <v>1597892</v>
      </c>
      <c r="U47" s="8">
        <v>0.68632423218000005</v>
      </c>
      <c r="V47" s="1" t="s">
        <v>68</v>
      </c>
    </row>
    <row r="48" spans="1:22" x14ac:dyDescent="0.35">
      <c r="A48">
        <v>2024</v>
      </c>
      <c r="B48" s="1" t="s">
        <v>19</v>
      </c>
      <c r="C48" s="1" t="s">
        <v>805</v>
      </c>
      <c r="D48" s="1" t="s">
        <v>854</v>
      </c>
      <c r="E48" s="1" t="s">
        <v>21</v>
      </c>
      <c r="F48" s="1" t="s">
        <v>48</v>
      </c>
      <c r="G48" s="1" t="s">
        <v>67</v>
      </c>
      <c r="H48" s="1" t="s">
        <v>53</v>
      </c>
      <c r="I48" s="1" t="s">
        <v>339</v>
      </c>
      <c r="J48">
        <v>1096672</v>
      </c>
      <c r="K48">
        <v>1089584</v>
      </c>
      <c r="L48">
        <v>968</v>
      </c>
      <c r="M48" s="9">
        <v>8.8841245833000003E-4</v>
      </c>
      <c r="N48">
        <v>475587</v>
      </c>
      <c r="O48" s="9">
        <v>0.43648493370000002</v>
      </c>
      <c r="P48">
        <v>344223</v>
      </c>
      <c r="Q48" s="9">
        <v>0.31592148930000002</v>
      </c>
      <c r="R48">
        <f>Telengana_Results_2024[[#This Row],[BJP votes]]-Telengana_Results_2024[[#This Row],[Max Votes Other Than BJP]]</f>
        <v>-131364</v>
      </c>
      <c r="S48" s="10">
        <f>Telengana_Results_2024[[#This Row],[BJP vote share]]-Telengana_Results_2024[[#This Row],[Max Vote share other than bjp ]]</f>
        <v>-0.1205634444</v>
      </c>
      <c r="T48">
        <v>1597892</v>
      </c>
      <c r="U48" s="8">
        <v>0.68632423218000005</v>
      </c>
      <c r="V48" s="1" t="s">
        <v>68</v>
      </c>
    </row>
    <row r="49" spans="1:22" x14ac:dyDescent="0.35">
      <c r="A49">
        <v>2024</v>
      </c>
      <c r="B49" s="1" t="s">
        <v>19</v>
      </c>
      <c r="C49" s="1" t="s">
        <v>805</v>
      </c>
      <c r="D49" s="1" t="s">
        <v>855</v>
      </c>
      <c r="E49" s="1" t="s">
        <v>21</v>
      </c>
      <c r="F49" s="1" t="s">
        <v>40</v>
      </c>
      <c r="G49" s="1" t="s">
        <v>67</v>
      </c>
      <c r="H49" s="1" t="s">
        <v>53</v>
      </c>
      <c r="I49" s="1" t="s">
        <v>284</v>
      </c>
      <c r="J49">
        <v>1096672</v>
      </c>
      <c r="K49">
        <v>1089584</v>
      </c>
      <c r="L49">
        <v>865</v>
      </c>
      <c r="M49" s="9">
        <v>7.9388096741999997E-4</v>
      </c>
      <c r="N49">
        <v>475587</v>
      </c>
      <c r="O49" s="9">
        <v>0.43648493370000002</v>
      </c>
      <c r="P49">
        <v>344223</v>
      </c>
      <c r="Q49" s="9">
        <v>0.31592148930000002</v>
      </c>
      <c r="R49">
        <f>Telengana_Results_2024[[#This Row],[BJP votes]]-Telengana_Results_2024[[#This Row],[Max Votes Other Than BJP]]</f>
        <v>-131364</v>
      </c>
      <c r="S49" s="10">
        <f>Telengana_Results_2024[[#This Row],[BJP vote share]]-Telengana_Results_2024[[#This Row],[Max Vote share other than bjp ]]</f>
        <v>-0.1205634444</v>
      </c>
      <c r="T49">
        <v>1597892</v>
      </c>
      <c r="U49" s="8">
        <v>0.68632423218000005</v>
      </c>
      <c r="V49" s="1" t="s">
        <v>68</v>
      </c>
    </row>
    <row r="50" spans="1:22" x14ac:dyDescent="0.35">
      <c r="A50">
        <v>2024</v>
      </c>
      <c r="B50" s="1" t="s">
        <v>19</v>
      </c>
      <c r="C50" s="1" t="s">
        <v>805</v>
      </c>
      <c r="D50" s="1" t="s">
        <v>856</v>
      </c>
      <c r="E50" s="1" t="s">
        <v>21</v>
      </c>
      <c r="F50" s="1" t="s">
        <v>36</v>
      </c>
      <c r="G50" s="1" t="s">
        <v>67</v>
      </c>
      <c r="H50" s="1" t="s">
        <v>53</v>
      </c>
      <c r="I50" s="1" t="s">
        <v>857</v>
      </c>
      <c r="J50">
        <v>1096672</v>
      </c>
      <c r="K50">
        <v>1089584</v>
      </c>
      <c r="L50">
        <v>766</v>
      </c>
      <c r="M50" s="9">
        <v>7.0302060236000004E-4</v>
      </c>
      <c r="N50">
        <v>475587</v>
      </c>
      <c r="O50" s="9">
        <v>0.43648493370000002</v>
      </c>
      <c r="P50">
        <v>344223</v>
      </c>
      <c r="Q50" s="9">
        <v>0.31592148930000002</v>
      </c>
      <c r="R50">
        <f>Telengana_Results_2024[[#This Row],[BJP votes]]-Telengana_Results_2024[[#This Row],[Max Votes Other Than BJP]]</f>
        <v>-131364</v>
      </c>
      <c r="S50" s="10">
        <f>Telengana_Results_2024[[#This Row],[BJP vote share]]-Telengana_Results_2024[[#This Row],[Max Vote share other than bjp ]]</f>
        <v>-0.1205634444</v>
      </c>
      <c r="T50">
        <v>1597892</v>
      </c>
      <c r="U50" s="8">
        <v>0.68632423218000005</v>
      </c>
      <c r="V50" s="1" t="s">
        <v>68</v>
      </c>
    </row>
    <row r="51" spans="1:22" x14ac:dyDescent="0.35">
      <c r="A51">
        <v>2024</v>
      </c>
      <c r="B51" s="1" t="s">
        <v>19</v>
      </c>
      <c r="C51" s="1" t="s">
        <v>805</v>
      </c>
      <c r="D51" s="1" t="s">
        <v>858</v>
      </c>
      <c r="E51" s="1" t="s">
        <v>21</v>
      </c>
      <c r="F51" s="1" t="s">
        <v>75</v>
      </c>
      <c r="G51" s="1" t="s">
        <v>67</v>
      </c>
      <c r="H51" s="1" t="s">
        <v>96</v>
      </c>
      <c r="I51" s="1" t="s">
        <v>97</v>
      </c>
      <c r="J51">
        <v>1096672</v>
      </c>
      <c r="K51">
        <v>1089584</v>
      </c>
      <c r="L51">
        <v>751</v>
      </c>
      <c r="M51" s="9">
        <v>6.8925388038000004E-4</v>
      </c>
      <c r="N51">
        <v>475587</v>
      </c>
      <c r="O51" s="9">
        <v>0.43648493370000002</v>
      </c>
      <c r="P51">
        <v>344223</v>
      </c>
      <c r="Q51" s="9">
        <v>0.31592148930000002</v>
      </c>
      <c r="R51">
        <f>Telengana_Results_2024[[#This Row],[BJP votes]]-Telengana_Results_2024[[#This Row],[Max Votes Other Than BJP]]</f>
        <v>-131364</v>
      </c>
      <c r="S51" s="10">
        <f>Telengana_Results_2024[[#This Row],[BJP vote share]]-Telengana_Results_2024[[#This Row],[Max Vote share other than bjp ]]</f>
        <v>-0.1205634444</v>
      </c>
      <c r="T51">
        <v>1597892</v>
      </c>
      <c r="U51" s="8">
        <v>0.68632423218000005</v>
      </c>
      <c r="V51" s="1" t="s">
        <v>68</v>
      </c>
    </row>
    <row r="52" spans="1:22" x14ac:dyDescent="0.35">
      <c r="A52">
        <v>2024</v>
      </c>
      <c r="B52" s="1" t="s">
        <v>19</v>
      </c>
      <c r="C52" s="1" t="s">
        <v>805</v>
      </c>
      <c r="D52" s="1" t="s">
        <v>859</v>
      </c>
      <c r="E52" s="1" t="s">
        <v>21</v>
      </c>
      <c r="F52" s="1" t="s">
        <v>28</v>
      </c>
      <c r="G52" s="1" t="s">
        <v>67</v>
      </c>
      <c r="H52" s="1" t="s">
        <v>860</v>
      </c>
      <c r="I52" s="1" t="s">
        <v>167</v>
      </c>
      <c r="J52">
        <v>1096672</v>
      </c>
      <c r="K52">
        <v>1089584</v>
      </c>
      <c r="L52">
        <v>720</v>
      </c>
      <c r="M52" s="9">
        <v>6.6080265496000002E-4</v>
      </c>
      <c r="N52">
        <v>475587</v>
      </c>
      <c r="O52" s="9">
        <v>0.43648493370000002</v>
      </c>
      <c r="P52">
        <v>344223</v>
      </c>
      <c r="Q52" s="9">
        <v>0.31592148930000002</v>
      </c>
      <c r="R52">
        <f>Telengana_Results_2024[[#This Row],[BJP votes]]-Telengana_Results_2024[[#This Row],[Max Votes Other Than BJP]]</f>
        <v>-131364</v>
      </c>
      <c r="S52" s="10">
        <f>Telengana_Results_2024[[#This Row],[BJP vote share]]-Telengana_Results_2024[[#This Row],[Max Vote share other than bjp ]]</f>
        <v>-0.1205634444</v>
      </c>
      <c r="T52">
        <v>1597892</v>
      </c>
      <c r="U52" s="8">
        <v>0.68632423218000005</v>
      </c>
      <c r="V52" s="1" t="s">
        <v>68</v>
      </c>
    </row>
    <row r="53" spans="1:22" x14ac:dyDescent="0.35">
      <c r="A53">
        <v>2024</v>
      </c>
      <c r="B53" s="1" t="s">
        <v>19</v>
      </c>
      <c r="C53" s="1" t="s">
        <v>805</v>
      </c>
      <c r="D53" s="1" t="s">
        <v>861</v>
      </c>
      <c r="E53" s="1" t="s">
        <v>21</v>
      </c>
      <c r="F53" s="1" t="s">
        <v>200</v>
      </c>
      <c r="G53" s="1" t="s">
        <v>67</v>
      </c>
      <c r="H53" s="1" t="s">
        <v>53</v>
      </c>
      <c r="I53" s="1" t="s">
        <v>862</v>
      </c>
      <c r="J53">
        <v>1096672</v>
      </c>
      <c r="K53">
        <v>1089584</v>
      </c>
      <c r="L53">
        <v>703</v>
      </c>
      <c r="M53" s="9">
        <v>6.4520037005000004E-4</v>
      </c>
      <c r="N53">
        <v>475587</v>
      </c>
      <c r="O53" s="9">
        <v>0.43648493370000002</v>
      </c>
      <c r="P53">
        <v>344223</v>
      </c>
      <c r="Q53" s="9">
        <v>0.31592148930000002</v>
      </c>
      <c r="R53">
        <f>Telengana_Results_2024[[#This Row],[BJP votes]]-Telengana_Results_2024[[#This Row],[Max Votes Other Than BJP]]</f>
        <v>-131364</v>
      </c>
      <c r="S53" s="10">
        <f>Telengana_Results_2024[[#This Row],[BJP vote share]]-Telengana_Results_2024[[#This Row],[Max Vote share other than bjp ]]</f>
        <v>-0.1205634444</v>
      </c>
      <c r="T53">
        <v>1597892</v>
      </c>
      <c r="U53" s="8">
        <v>0.68632423218000005</v>
      </c>
      <c r="V53" s="1" t="s">
        <v>68</v>
      </c>
    </row>
    <row r="54" spans="1:22" x14ac:dyDescent="0.35">
      <c r="A54">
        <v>2024</v>
      </c>
      <c r="B54" s="1" t="s">
        <v>19</v>
      </c>
      <c r="C54" s="1" t="s">
        <v>805</v>
      </c>
      <c r="D54" s="1" t="s">
        <v>863</v>
      </c>
      <c r="E54" s="1" t="s">
        <v>21</v>
      </c>
      <c r="F54" s="1" t="s">
        <v>28</v>
      </c>
      <c r="G54" s="1" t="s">
        <v>67</v>
      </c>
      <c r="H54" s="1" t="s">
        <v>53</v>
      </c>
      <c r="I54" s="1" t="s">
        <v>129</v>
      </c>
      <c r="J54">
        <v>1096672</v>
      </c>
      <c r="K54">
        <v>1089584</v>
      </c>
      <c r="L54">
        <v>661</v>
      </c>
      <c r="M54" s="9">
        <v>6.0665354850999997E-4</v>
      </c>
      <c r="N54">
        <v>475587</v>
      </c>
      <c r="O54" s="9">
        <v>0.43648493370000002</v>
      </c>
      <c r="P54">
        <v>344223</v>
      </c>
      <c r="Q54" s="9">
        <v>0.31592148930000002</v>
      </c>
      <c r="R54">
        <f>Telengana_Results_2024[[#This Row],[BJP votes]]-Telengana_Results_2024[[#This Row],[Max Votes Other Than BJP]]</f>
        <v>-131364</v>
      </c>
      <c r="S54" s="10">
        <f>Telengana_Results_2024[[#This Row],[BJP vote share]]-Telengana_Results_2024[[#This Row],[Max Vote share other than bjp ]]</f>
        <v>-0.1205634444</v>
      </c>
      <c r="T54">
        <v>1597892</v>
      </c>
      <c r="U54" s="8">
        <v>0.68632423218000005</v>
      </c>
      <c r="V54" s="1" t="s">
        <v>68</v>
      </c>
    </row>
    <row r="55" spans="1:22" x14ac:dyDescent="0.35">
      <c r="A55">
        <v>2024</v>
      </c>
      <c r="B55" s="1" t="s">
        <v>19</v>
      </c>
      <c r="C55" s="1" t="s">
        <v>805</v>
      </c>
      <c r="D55" s="1" t="s">
        <v>864</v>
      </c>
      <c r="E55" s="1" t="s">
        <v>21</v>
      </c>
      <c r="F55" s="1" t="s">
        <v>44</v>
      </c>
      <c r="G55" s="1" t="s">
        <v>67</v>
      </c>
      <c r="H55" s="1" t="s">
        <v>53</v>
      </c>
      <c r="I55" s="1" t="s">
        <v>865</v>
      </c>
      <c r="J55">
        <v>1096672</v>
      </c>
      <c r="K55">
        <v>1089584</v>
      </c>
      <c r="L55">
        <v>653</v>
      </c>
      <c r="M55" s="9">
        <v>5.9931129678999996E-4</v>
      </c>
      <c r="N55">
        <v>475587</v>
      </c>
      <c r="O55" s="9">
        <v>0.43648493370000002</v>
      </c>
      <c r="P55">
        <v>344223</v>
      </c>
      <c r="Q55" s="9">
        <v>0.31592148930000002</v>
      </c>
      <c r="R55">
        <f>Telengana_Results_2024[[#This Row],[BJP votes]]-Telengana_Results_2024[[#This Row],[Max Votes Other Than BJP]]</f>
        <v>-131364</v>
      </c>
      <c r="S55" s="10">
        <f>Telengana_Results_2024[[#This Row],[BJP vote share]]-Telengana_Results_2024[[#This Row],[Max Vote share other than bjp ]]</f>
        <v>-0.1205634444</v>
      </c>
      <c r="T55">
        <v>1597892</v>
      </c>
      <c r="U55" s="8">
        <v>0.68632423218000005</v>
      </c>
      <c r="V55" s="1" t="s">
        <v>68</v>
      </c>
    </row>
    <row r="56" spans="1:22" x14ac:dyDescent="0.35">
      <c r="A56">
        <v>2024</v>
      </c>
      <c r="B56" s="1" t="s">
        <v>19</v>
      </c>
      <c r="C56" s="1" t="s">
        <v>805</v>
      </c>
      <c r="D56" s="1" t="s">
        <v>866</v>
      </c>
      <c r="E56" s="1" t="s">
        <v>21</v>
      </c>
      <c r="F56" s="1" t="s">
        <v>99</v>
      </c>
      <c r="G56" s="1" t="s">
        <v>67</v>
      </c>
      <c r="H56" s="1" t="s">
        <v>53</v>
      </c>
      <c r="I56" s="1" t="s">
        <v>174</v>
      </c>
      <c r="J56">
        <v>1096672</v>
      </c>
      <c r="K56">
        <v>1089584</v>
      </c>
      <c r="L56">
        <v>479</v>
      </c>
      <c r="M56" s="9">
        <v>4.3961732184000002E-4</v>
      </c>
      <c r="N56">
        <v>475587</v>
      </c>
      <c r="O56" s="9">
        <v>0.43648493370000002</v>
      </c>
      <c r="P56">
        <v>344223</v>
      </c>
      <c r="Q56" s="9">
        <v>0.31592148930000002</v>
      </c>
      <c r="R56">
        <f>Telengana_Results_2024[[#This Row],[BJP votes]]-Telengana_Results_2024[[#This Row],[Max Votes Other Than BJP]]</f>
        <v>-131364</v>
      </c>
      <c r="S56" s="10">
        <f>Telengana_Results_2024[[#This Row],[BJP vote share]]-Telengana_Results_2024[[#This Row],[Max Vote share other than bjp ]]</f>
        <v>-0.1205634444</v>
      </c>
      <c r="T56">
        <v>1597892</v>
      </c>
      <c r="U56" s="8">
        <v>0.68632423218000005</v>
      </c>
      <c r="V56" s="1" t="s">
        <v>68</v>
      </c>
    </row>
    <row r="57" spans="1:22" x14ac:dyDescent="0.35">
      <c r="A57">
        <v>2024</v>
      </c>
      <c r="B57" s="1" t="s">
        <v>19</v>
      </c>
      <c r="C57" s="1" t="s">
        <v>805</v>
      </c>
      <c r="D57" s="1" t="s">
        <v>867</v>
      </c>
      <c r="E57" s="1" t="s">
        <v>21</v>
      </c>
      <c r="F57" s="1" t="s">
        <v>62</v>
      </c>
      <c r="G57" s="1" t="s">
        <v>67</v>
      </c>
      <c r="H57" s="1" t="s">
        <v>53</v>
      </c>
      <c r="I57" s="1" t="s">
        <v>868</v>
      </c>
      <c r="J57">
        <v>1096672</v>
      </c>
      <c r="K57">
        <v>1089584</v>
      </c>
      <c r="L57">
        <v>423</v>
      </c>
      <c r="M57" s="9">
        <v>3.8822155979000001E-4</v>
      </c>
      <c r="N57">
        <v>475587</v>
      </c>
      <c r="O57" s="9">
        <v>0.43648493370000002</v>
      </c>
      <c r="P57">
        <v>344223</v>
      </c>
      <c r="Q57" s="9">
        <v>0.31592148930000002</v>
      </c>
      <c r="R57">
        <f>Telengana_Results_2024[[#This Row],[BJP votes]]-Telengana_Results_2024[[#This Row],[Max Votes Other Than BJP]]</f>
        <v>-131364</v>
      </c>
      <c r="S57" s="10">
        <f>Telengana_Results_2024[[#This Row],[BJP vote share]]-Telengana_Results_2024[[#This Row],[Max Vote share other than bjp ]]</f>
        <v>-0.1205634444</v>
      </c>
      <c r="T57">
        <v>1597892</v>
      </c>
      <c r="U57" s="8">
        <v>0.68632423218000005</v>
      </c>
      <c r="V57" s="1" t="s">
        <v>68</v>
      </c>
    </row>
    <row r="58" spans="1:22" x14ac:dyDescent="0.35">
      <c r="A58">
        <v>2024</v>
      </c>
      <c r="B58" s="1" t="s">
        <v>19</v>
      </c>
      <c r="C58" s="1" t="s">
        <v>869</v>
      </c>
      <c r="D58" s="1" t="s">
        <v>113</v>
      </c>
      <c r="E58" s="1" t="s">
        <v>21</v>
      </c>
      <c r="F58" s="1" t="s">
        <v>28</v>
      </c>
      <c r="G58" s="1" t="s">
        <v>112</v>
      </c>
      <c r="H58" s="1" t="s">
        <v>32</v>
      </c>
      <c r="I58" s="1" t="s">
        <v>33</v>
      </c>
      <c r="J58">
        <v>1314574</v>
      </c>
      <c r="K58">
        <v>1307414</v>
      </c>
      <c r="L58">
        <v>585116</v>
      </c>
      <c r="M58" s="9">
        <v>0.44753689344000003</v>
      </c>
      <c r="N58">
        <v>359907</v>
      </c>
      <c r="O58" s="9">
        <v>0.2752815864</v>
      </c>
      <c r="P58">
        <v>585116</v>
      </c>
      <c r="Q58" s="9">
        <v>0.44753689344000003</v>
      </c>
      <c r="R58">
        <f>Telengana_Results_2024[[#This Row],[BJP votes]]-Telengana_Results_2024[[#This Row],[Max Votes Other Than BJP]]</f>
        <v>225209</v>
      </c>
      <c r="S58" s="10">
        <f>Telengana_Results_2024[[#This Row],[BJP vote share]]-Telengana_Results_2024[[#This Row],[Max Vote share other than bjp ]]</f>
        <v>0.17225530704000003</v>
      </c>
      <c r="T58">
        <v>1798168</v>
      </c>
      <c r="U58" s="8">
        <v>0.73106294850999998</v>
      </c>
      <c r="V58" s="1" t="s">
        <v>26</v>
      </c>
    </row>
    <row r="59" spans="1:22" x14ac:dyDescent="0.35">
      <c r="A59">
        <v>2024</v>
      </c>
      <c r="B59" s="1" t="s">
        <v>19</v>
      </c>
      <c r="C59" s="1" t="s">
        <v>869</v>
      </c>
      <c r="D59" s="1" t="s">
        <v>870</v>
      </c>
      <c r="E59" s="1" t="s">
        <v>21</v>
      </c>
      <c r="F59" s="1" t="s">
        <v>104</v>
      </c>
      <c r="G59" s="1" t="s">
        <v>112</v>
      </c>
      <c r="H59" s="1" t="s">
        <v>29</v>
      </c>
      <c r="I59" s="1" t="s">
        <v>30</v>
      </c>
      <c r="J59">
        <v>1314574</v>
      </c>
      <c r="K59">
        <v>1307414</v>
      </c>
      <c r="L59">
        <v>359907</v>
      </c>
      <c r="M59" s="9">
        <v>0.2752815864</v>
      </c>
      <c r="N59">
        <v>359907</v>
      </c>
      <c r="O59" s="9">
        <v>0.2752815864</v>
      </c>
      <c r="P59">
        <v>585116</v>
      </c>
      <c r="Q59" s="9">
        <v>0.44753689344000003</v>
      </c>
      <c r="R59">
        <f>Telengana_Results_2024[[#This Row],[BJP votes]]-Telengana_Results_2024[[#This Row],[Max Votes Other Than BJP]]</f>
        <v>225209</v>
      </c>
      <c r="S59" s="10">
        <f>Telengana_Results_2024[[#This Row],[BJP vote share]]-Telengana_Results_2024[[#This Row],[Max Vote share other than bjp ]]</f>
        <v>0.17225530704000003</v>
      </c>
      <c r="T59">
        <v>1798168</v>
      </c>
      <c r="U59" s="8">
        <v>0.73106294850999998</v>
      </c>
      <c r="V59" s="1" t="s">
        <v>26</v>
      </c>
    </row>
    <row r="60" spans="1:22" x14ac:dyDescent="0.35">
      <c r="A60">
        <v>2024</v>
      </c>
      <c r="B60" s="1" t="s">
        <v>19</v>
      </c>
      <c r="C60" s="1" t="s">
        <v>869</v>
      </c>
      <c r="D60" s="1" t="s">
        <v>871</v>
      </c>
      <c r="E60" s="1" t="s">
        <v>21</v>
      </c>
      <c r="F60" s="1" t="s">
        <v>559</v>
      </c>
      <c r="G60" s="1" t="s">
        <v>112</v>
      </c>
      <c r="H60" s="1" t="s">
        <v>785</v>
      </c>
      <c r="I60" s="1" t="s">
        <v>25</v>
      </c>
      <c r="J60">
        <v>1314574</v>
      </c>
      <c r="K60">
        <v>1307414</v>
      </c>
      <c r="L60">
        <v>282163</v>
      </c>
      <c r="M60" s="9">
        <v>0.21581763695</v>
      </c>
      <c r="N60">
        <v>359907</v>
      </c>
      <c r="O60" s="9">
        <v>0.2752815864</v>
      </c>
      <c r="P60">
        <v>585116</v>
      </c>
      <c r="Q60" s="9">
        <v>0.44753689344000003</v>
      </c>
      <c r="R60">
        <f>Telengana_Results_2024[[#This Row],[BJP votes]]-Telengana_Results_2024[[#This Row],[Max Votes Other Than BJP]]</f>
        <v>225209</v>
      </c>
      <c r="S60" s="10">
        <f>Telengana_Results_2024[[#This Row],[BJP vote share]]-Telengana_Results_2024[[#This Row],[Max Vote share other than bjp ]]</f>
        <v>0.17225530704000003</v>
      </c>
      <c r="T60">
        <v>1798168</v>
      </c>
      <c r="U60" s="8">
        <v>0.73106294850999998</v>
      </c>
      <c r="V60" s="1" t="s">
        <v>26</v>
      </c>
    </row>
    <row r="61" spans="1:22" x14ac:dyDescent="0.35">
      <c r="A61">
        <v>2024</v>
      </c>
      <c r="B61" s="1" t="s">
        <v>19</v>
      </c>
      <c r="C61" s="1" t="s">
        <v>869</v>
      </c>
      <c r="D61" s="1" t="s">
        <v>872</v>
      </c>
      <c r="E61" s="1" t="s">
        <v>21</v>
      </c>
      <c r="F61" s="1" t="s">
        <v>22</v>
      </c>
      <c r="G61" s="1" t="s">
        <v>112</v>
      </c>
      <c r="H61" s="1" t="s">
        <v>53</v>
      </c>
      <c r="I61" s="1" t="s">
        <v>796</v>
      </c>
      <c r="J61">
        <v>1314574</v>
      </c>
      <c r="K61">
        <v>1307414</v>
      </c>
      <c r="L61">
        <v>11612</v>
      </c>
      <c r="M61" s="9">
        <v>8.8816549310000003E-3</v>
      </c>
      <c r="N61">
        <v>359907</v>
      </c>
      <c r="O61" s="9">
        <v>0.2752815864</v>
      </c>
      <c r="P61">
        <v>585116</v>
      </c>
      <c r="Q61" s="9">
        <v>0.44753689344000003</v>
      </c>
      <c r="R61">
        <f>Telengana_Results_2024[[#This Row],[BJP votes]]-Telengana_Results_2024[[#This Row],[Max Votes Other Than BJP]]</f>
        <v>225209</v>
      </c>
      <c r="S61" s="10">
        <f>Telengana_Results_2024[[#This Row],[BJP vote share]]-Telengana_Results_2024[[#This Row],[Max Vote share other than bjp ]]</f>
        <v>0.17225530704000003</v>
      </c>
      <c r="T61">
        <v>1798168</v>
      </c>
      <c r="U61" s="8">
        <v>0.73106294850999998</v>
      </c>
      <c r="V61" s="1" t="s">
        <v>26</v>
      </c>
    </row>
    <row r="62" spans="1:22" x14ac:dyDescent="0.35">
      <c r="A62">
        <v>2024</v>
      </c>
      <c r="B62" s="1" t="s">
        <v>19</v>
      </c>
      <c r="C62" s="1" t="s">
        <v>869</v>
      </c>
      <c r="D62" s="1" t="s">
        <v>873</v>
      </c>
      <c r="E62" s="1" t="s">
        <v>35</v>
      </c>
      <c r="F62" s="1" t="s">
        <v>155</v>
      </c>
      <c r="G62" s="1" t="s">
        <v>112</v>
      </c>
      <c r="H62" s="1" t="s">
        <v>787</v>
      </c>
      <c r="I62" s="1" t="s">
        <v>788</v>
      </c>
      <c r="J62">
        <v>1314574</v>
      </c>
      <c r="K62">
        <v>1307414</v>
      </c>
      <c r="L62">
        <v>9064</v>
      </c>
      <c r="M62" s="9">
        <v>6.9327695741000003E-3</v>
      </c>
      <c r="N62">
        <v>359907</v>
      </c>
      <c r="O62" s="9">
        <v>0.2752815864</v>
      </c>
      <c r="P62">
        <v>585116</v>
      </c>
      <c r="Q62" s="9">
        <v>0.44753689344000003</v>
      </c>
      <c r="R62">
        <f>Telengana_Results_2024[[#This Row],[BJP votes]]-Telengana_Results_2024[[#This Row],[Max Votes Other Than BJP]]</f>
        <v>225209</v>
      </c>
      <c r="S62" s="10">
        <f>Telengana_Results_2024[[#This Row],[BJP vote share]]-Telengana_Results_2024[[#This Row],[Max Vote share other than bjp ]]</f>
        <v>0.17225530704000003</v>
      </c>
      <c r="T62">
        <v>1798168</v>
      </c>
      <c r="U62" s="8">
        <v>0.73106294850999998</v>
      </c>
      <c r="V62" s="1" t="s">
        <v>26</v>
      </c>
    </row>
    <row r="63" spans="1:22" x14ac:dyDescent="0.35">
      <c r="A63">
        <v>2024</v>
      </c>
      <c r="B63" s="1" t="s">
        <v>19</v>
      </c>
      <c r="C63" s="1" t="s">
        <v>869</v>
      </c>
      <c r="D63" s="1" t="s">
        <v>874</v>
      </c>
      <c r="E63" s="1" t="s">
        <v>21</v>
      </c>
      <c r="F63" s="1" t="s">
        <v>165</v>
      </c>
      <c r="G63" s="1" t="s">
        <v>112</v>
      </c>
      <c r="H63" s="1" t="s">
        <v>53</v>
      </c>
      <c r="I63" s="1" t="s">
        <v>184</v>
      </c>
      <c r="J63">
        <v>1314574</v>
      </c>
      <c r="K63">
        <v>1307414</v>
      </c>
      <c r="L63">
        <v>8756</v>
      </c>
      <c r="M63" s="9">
        <v>6.6971900255000001E-3</v>
      </c>
      <c r="N63">
        <v>359907</v>
      </c>
      <c r="O63" s="9">
        <v>0.2752815864</v>
      </c>
      <c r="P63">
        <v>585116</v>
      </c>
      <c r="Q63" s="9">
        <v>0.44753689344000003</v>
      </c>
      <c r="R63">
        <f>Telengana_Results_2024[[#This Row],[BJP votes]]-Telengana_Results_2024[[#This Row],[Max Votes Other Than BJP]]</f>
        <v>225209</v>
      </c>
      <c r="S63" s="10">
        <f>Telengana_Results_2024[[#This Row],[BJP vote share]]-Telengana_Results_2024[[#This Row],[Max Vote share other than bjp ]]</f>
        <v>0.17225530704000003</v>
      </c>
      <c r="T63">
        <v>1798168</v>
      </c>
      <c r="U63" s="8">
        <v>0.73106294850999998</v>
      </c>
      <c r="V63" s="1" t="s">
        <v>26</v>
      </c>
    </row>
    <row r="64" spans="1:22" x14ac:dyDescent="0.35">
      <c r="A64">
        <v>2024</v>
      </c>
      <c r="B64" s="1" t="s">
        <v>19</v>
      </c>
      <c r="C64" s="1" t="s">
        <v>869</v>
      </c>
      <c r="D64" s="1" t="s">
        <v>875</v>
      </c>
      <c r="E64" s="1" t="s">
        <v>21</v>
      </c>
      <c r="F64" s="1" t="s">
        <v>125</v>
      </c>
      <c r="G64" s="1" t="s">
        <v>67</v>
      </c>
      <c r="H64" s="1" t="s">
        <v>53</v>
      </c>
      <c r="I64" s="1" t="s">
        <v>818</v>
      </c>
      <c r="J64">
        <v>1314574</v>
      </c>
      <c r="K64">
        <v>1307414</v>
      </c>
      <c r="L64">
        <v>8706</v>
      </c>
      <c r="M64" s="9">
        <v>6.6589465922999996E-3</v>
      </c>
      <c r="N64">
        <v>359907</v>
      </c>
      <c r="O64" s="9">
        <v>0.2752815864</v>
      </c>
      <c r="P64">
        <v>585116</v>
      </c>
      <c r="Q64" s="9">
        <v>0.44753689344000003</v>
      </c>
      <c r="R64">
        <f>Telengana_Results_2024[[#This Row],[BJP votes]]-Telengana_Results_2024[[#This Row],[Max Votes Other Than BJP]]</f>
        <v>225209</v>
      </c>
      <c r="S64" s="10">
        <f>Telengana_Results_2024[[#This Row],[BJP vote share]]-Telengana_Results_2024[[#This Row],[Max Vote share other than bjp ]]</f>
        <v>0.17225530704000003</v>
      </c>
      <c r="T64">
        <v>1798168</v>
      </c>
      <c r="U64" s="8">
        <v>0.73106294850999998</v>
      </c>
      <c r="V64" s="1" t="s">
        <v>26</v>
      </c>
    </row>
    <row r="65" spans="1:22" x14ac:dyDescent="0.35">
      <c r="A65">
        <v>2024</v>
      </c>
      <c r="B65" s="1" t="s">
        <v>19</v>
      </c>
      <c r="C65" s="1" t="s">
        <v>869</v>
      </c>
      <c r="D65" s="1" t="s">
        <v>876</v>
      </c>
      <c r="E65" s="1" t="s">
        <v>21</v>
      </c>
      <c r="F65" s="1" t="s">
        <v>353</v>
      </c>
      <c r="G65" s="1" t="s">
        <v>67</v>
      </c>
      <c r="H65" s="1" t="s">
        <v>72</v>
      </c>
      <c r="I65" s="1" t="s">
        <v>73</v>
      </c>
      <c r="J65">
        <v>1314574</v>
      </c>
      <c r="K65">
        <v>1307414</v>
      </c>
      <c r="L65">
        <v>8109</v>
      </c>
      <c r="M65" s="9">
        <v>6.2023199996000004E-3</v>
      </c>
      <c r="N65">
        <v>359907</v>
      </c>
      <c r="O65" s="9">
        <v>0.2752815864</v>
      </c>
      <c r="P65">
        <v>585116</v>
      </c>
      <c r="Q65" s="9">
        <v>0.44753689344000003</v>
      </c>
      <c r="R65">
        <f>Telengana_Results_2024[[#This Row],[BJP votes]]-Telengana_Results_2024[[#This Row],[Max Votes Other Than BJP]]</f>
        <v>225209</v>
      </c>
      <c r="S65" s="10">
        <f>Telengana_Results_2024[[#This Row],[BJP vote share]]-Telengana_Results_2024[[#This Row],[Max Vote share other than bjp ]]</f>
        <v>0.17225530704000003</v>
      </c>
      <c r="T65">
        <v>1798168</v>
      </c>
      <c r="U65" s="8">
        <v>0.73106294850999998</v>
      </c>
      <c r="V65" s="1" t="s">
        <v>26</v>
      </c>
    </row>
    <row r="66" spans="1:22" x14ac:dyDescent="0.35">
      <c r="A66">
        <v>2024</v>
      </c>
      <c r="B66" s="1" t="s">
        <v>19</v>
      </c>
      <c r="C66" s="1" t="s">
        <v>869</v>
      </c>
      <c r="D66" s="1" t="s">
        <v>64</v>
      </c>
      <c r="E66" s="1" t="s">
        <v>64</v>
      </c>
      <c r="F66" s="1" t="s">
        <v>64</v>
      </c>
      <c r="G66" s="1" t="s">
        <v>64</v>
      </c>
      <c r="H66" s="1" t="s">
        <v>64</v>
      </c>
      <c r="I66" s="1" t="s">
        <v>64</v>
      </c>
      <c r="J66">
        <v>1314574</v>
      </c>
      <c r="K66">
        <v>1307414</v>
      </c>
      <c r="L66">
        <v>5438</v>
      </c>
      <c r="M66" s="9">
        <v>4.1593557969999998E-3</v>
      </c>
      <c r="N66">
        <v>359907</v>
      </c>
      <c r="O66" s="9">
        <v>0.2752815864</v>
      </c>
      <c r="P66">
        <v>585116</v>
      </c>
      <c r="Q66" s="9">
        <v>0.44753689344000003</v>
      </c>
      <c r="R66">
        <f>Telengana_Results_2024[[#This Row],[BJP votes]]-Telengana_Results_2024[[#This Row],[Max Votes Other Than BJP]]</f>
        <v>225209</v>
      </c>
      <c r="S66" s="10">
        <f>Telengana_Results_2024[[#This Row],[BJP vote share]]-Telengana_Results_2024[[#This Row],[Max Vote share other than bjp ]]</f>
        <v>0.17225530704000003</v>
      </c>
      <c r="T66">
        <v>1798168</v>
      </c>
      <c r="U66" s="8">
        <v>0.73106294850999998</v>
      </c>
      <c r="V66" s="1" t="s">
        <v>26</v>
      </c>
    </row>
    <row r="67" spans="1:22" x14ac:dyDescent="0.35">
      <c r="A67">
        <v>2024</v>
      </c>
      <c r="B67" s="1" t="s">
        <v>19</v>
      </c>
      <c r="C67" s="1" t="s">
        <v>869</v>
      </c>
      <c r="D67" s="1" t="s">
        <v>877</v>
      </c>
      <c r="E67" s="1" t="s">
        <v>21</v>
      </c>
      <c r="F67" s="1" t="s">
        <v>125</v>
      </c>
      <c r="G67" s="1" t="s">
        <v>67</v>
      </c>
      <c r="H67" s="1" t="s">
        <v>53</v>
      </c>
      <c r="I67" s="1" t="s">
        <v>820</v>
      </c>
      <c r="J67">
        <v>1314574</v>
      </c>
      <c r="K67">
        <v>1307414</v>
      </c>
      <c r="L67">
        <v>3257</v>
      </c>
      <c r="M67" s="9">
        <v>2.4911772400000001E-3</v>
      </c>
      <c r="N67">
        <v>359907</v>
      </c>
      <c r="O67" s="9">
        <v>0.2752815864</v>
      </c>
      <c r="P67">
        <v>585116</v>
      </c>
      <c r="Q67" s="9">
        <v>0.44753689344000003</v>
      </c>
      <c r="R67">
        <f>Telengana_Results_2024[[#This Row],[BJP votes]]-Telengana_Results_2024[[#This Row],[Max Votes Other Than BJP]]</f>
        <v>225209</v>
      </c>
      <c r="S67" s="10">
        <f>Telengana_Results_2024[[#This Row],[BJP vote share]]-Telengana_Results_2024[[#This Row],[Max Vote share other than bjp ]]</f>
        <v>0.17225530704000003</v>
      </c>
      <c r="T67">
        <v>1798168</v>
      </c>
      <c r="U67" s="8">
        <v>0.73106294850999998</v>
      </c>
      <c r="V67" s="1" t="s">
        <v>26</v>
      </c>
    </row>
    <row r="68" spans="1:22" x14ac:dyDescent="0.35">
      <c r="A68">
        <v>2024</v>
      </c>
      <c r="B68" s="1" t="s">
        <v>19</v>
      </c>
      <c r="C68" s="1" t="s">
        <v>869</v>
      </c>
      <c r="D68" s="1" t="s">
        <v>878</v>
      </c>
      <c r="E68" s="1" t="s">
        <v>21</v>
      </c>
      <c r="F68" s="1" t="s">
        <v>48</v>
      </c>
      <c r="G68" s="1" t="s">
        <v>112</v>
      </c>
      <c r="H68" s="1" t="s">
        <v>879</v>
      </c>
      <c r="I68" s="1" t="s">
        <v>455</v>
      </c>
      <c r="J68">
        <v>1314574</v>
      </c>
      <c r="K68">
        <v>1307414</v>
      </c>
      <c r="L68">
        <v>3074</v>
      </c>
      <c r="M68" s="9">
        <v>2.3512062743999999E-3</v>
      </c>
      <c r="N68">
        <v>359907</v>
      </c>
      <c r="O68" s="9">
        <v>0.2752815864</v>
      </c>
      <c r="P68">
        <v>585116</v>
      </c>
      <c r="Q68" s="9">
        <v>0.44753689344000003</v>
      </c>
      <c r="R68">
        <f>Telengana_Results_2024[[#This Row],[BJP votes]]-Telengana_Results_2024[[#This Row],[Max Votes Other Than BJP]]</f>
        <v>225209</v>
      </c>
      <c r="S68" s="10">
        <f>Telengana_Results_2024[[#This Row],[BJP vote share]]-Telengana_Results_2024[[#This Row],[Max Vote share other than bjp ]]</f>
        <v>0.17225530704000003</v>
      </c>
      <c r="T68">
        <v>1798168</v>
      </c>
      <c r="U68" s="8">
        <v>0.73106294850999998</v>
      </c>
      <c r="V68" s="1" t="s">
        <v>26</v>
      </c>
    </row>
    <row r="69" spans="1:22" x14ac:dyDescent="0.35">
      <c r="A69">
        <v>2024</v>
      </c>
      <c r="B69" s="1" t="s">
        <v>19</v>
      </c>
      <c r="C69" s="1" t="s">
        <v>869</v>
      </c>
      <c r="D69" s="1" t="s">
        <v>880</v>
      </c>
      <c r="E69" s="1" t="s">
        <v>21</v>
      </c>
      <c r="F69" s="1" t="s">
        <v>48</v>
      </c>
      <c r="G69" s="1" t="s">
        <v>112</v>
      </c>
      <c r="H69" s="1" t="s">
        <v>53</v>
      </c>
      <c r="I69" s="1" t="s">
        <v>250</v>
      </c>
      <c r="J69">
        <v>1314574</v>
      </c>
      <c r="K69">
        <v>1307414</v>
      </c>
      <c r="L69">
        <v>2945</v>
      </c>
      <c r="M69" s="9">
        <v>2.2525382167000001E-3</v>
      </c>
      <c r="N69">
        <v>359907</v>
      </c>
      <c r="O69" s="9">
        <v>0.2752815864</v>
      </c>
      <c r="P69">
        <v>585116</v>
      </c>
      <c r="Q69" s="9">
        <v>0.44753689344000003</v>
      </c>
      <c r="R69">
        <f>Telengana_Results_2024[[#This Row],[BJP votes]]-Telengana_Results_2024[[#This Row],[Max Votes Other Than BJP]]</f>
        <v>225209</v>
      </c>
      <c r="S69" s="10">
        <f>Telengana_Results_2024[[#This Row],[BJP vote share]]-Telengana_Results_2024[[#This Row],[Max Vote share other than bjp ]]</f>
        <v>0.17225530704000003</v>
      </c>
      <c r="T69">
        <v>1798168</v>
      </c>
      <c r="U69" s="8">
        <v>0.73106294850999998</v>
      </c>
      <c r="V69" s="1" t="s">
        <v>26</v>
      </c>
    </row>
    <row r="70" spans="1:22" x14ac:dyDescent="0.35">
      <c r="A70">
        <v>2024</v>
      </c>
      <c r="B70" s="1" t="s">
        <v>19</v>
      </c>
      <c r="C70" s="1" t="s">
        <v>869</v>
      </c>
      <c r="D70" s="1" t="s">
        <v>881</v>
      </c>
      <c r="E70" s="1" t="s">
        <v>21</v>
      </c>
      <c r="F70" s="1" t="s">
        <v>205</v>
      </c>
      <c r="G70" s="1" t="s">
        <v>112</v>
      </c>
      <c r="H70" s="1" t="s">
        <v>882</v>
      </c>
      <c r="I70" s="1" t="s">
        <v>883</v>
      </c>
      <c r="J70">
        <v>1314574</v>
      </c>
      <c r="K70">
        <v>1307414</v>
      </c>
      <c r="L70">
        <v>2754</v>
      </c>
      <c r="M70" s="9">
        <v>2.1064483017999998E-3</v>
      </c>
      <c r="N70">
        <v>359907</v>
      </c>
      <c r="O70" s="9">
        <v>0.2752815864</v>
      </c>
      <c r="P70">
        <v>585116</v>
      </c>
      <c r="Q70" s="9">
        <v>0.44753689344000003</v>
      </c>
      <c r="R70">
        <f>Telengana_Results_2024[[#This Row],[BJP votes]]-Telengana_Results_2024[[#This Row],[Max Votes Other Than BJP]]</f>
        <v>225209</v>
      </c>
      <c r="S70" s="10">
        <f>Telengana_Results_2024[[#This Row],[BJP vote share]]-Telengana_Results_2024[[#This Row],[Max Vote share other than bjp ]]</f>
        <v>0.17225530704000003</v>
      </c>
      <c r="T70">
        <v>1798168</v>
      </c>
      <c r="U70" s="8">
        <v>0.73106294850999998</v>
      </c>
      <c r="V70" s="1" t="s">
        <v>26</v>
      </c>
    </row>
    <row r="71" spans="1:22" x14ac:dyDescent="0.35">
      <c r="A71">
        <v>2024</v>
      </c>
      <c r="B71" s="1" t="s">
        <v>19</v>
      </c>
      <c r="C71" s="1" t="s">
        <v>869</v>
      </c>
      <c r="D71" s="1" t="s">
        <v>884</v>
      </c>
      <c r="E71" s="1" t="s">
        <v>21</v>
      </c>
      <c r="F71" s="1" t="s">
        <v>125</v>
      </c>
      <c r="G71" s="1" t="s">
        <v>67</v>
      </c>
      <c r="H71" s="1" t="s">
        <v>798</v>
      </c>
      <c r="I71" s="1" t="s">
        <v>749</v>
      </c>
      <c r="J71">
        <v>1314574</v>
      </c>
      <c r="K71">
        <v>1307414</v>
      </c>
      <c r="L71">
        <v>2586</v>
      </c>
      <c r="M71" s="9">
        <v>1.9779503661000002E-3</v>
      </c>
      <c r="N71">
        <v>359907</v>
      </c>
      <c r="O71" s="9">
        <v>0.2752815864</v>
      </c>
      <c r="P71">
        <v>585116</v>
      </c>
      <c r="Q71" s="9">
        <v>0.44753689344000003</v>
      </c>
      <c r="R71">
        <f>Telengana_Results_2024[[#This Row],[BJP votes]]-Telengana_Results_2024[[#This Row],[Max Votes Other Than BJP]]</f>
        <v>225209</v>
      </c>
      <c r="S71" s="10">
        <f>Telengana_Results_2024[[#This Row],[BJP vote share]]-Telengana_Results_2024[[#This Row],[Max Vote share other than bjp ]]</f>
        <v>0.17225530704000003</v>
      </c>
      <c r="T71">
        <v>1798168</v>
      </c>
      <c r="U71" s="8">
        <v>0.73106294850999998</v>
      </c>
      <c r="V71" s="1" t="s">
        <v>26</v>
      </c>
    </row>
    <row r="72" spans="1:22" x14ac:dyDescent="0.35">
      <c r="A72">
        <v>2024</v>
      </c>
      <c r="B72" s="1" t="s">
        <v>19</v>
      </c>
      <c r="C72" s="1" t="s">
        <v>869</v>
      </c>
      <c r="D72" s="1" t="s">
        <v>832</v>
      </c>
      <c r="E72" s="1" t="s">
        <v>21</v>
      </c>
      <c r="F72" s="1" t="s">
        <v>56</v>
      </c>
      <c r="G72" s="1" t="s">
        <v>67</v>
      </c>
      <c r="H72" s="1" t="s">
        <v>53</v>
      </c>
      <c r="I72" s="1" t="s">
        <v>470</v>
      </c>
      <c r="J72">
        <v>1314574</v>
      </c>
      <c r="K72">
        <v>1307414</v>
      </c>
      <c r="L72">
        <v>2224</v>
      </c>
      <c r="M72" s="9">
        <v>1.7010679096E-3</v>
      </c>
      <c r="N72">
        <v>359907</v>
      </c>
      <c r="O72" s="9">
        <v>0.2752815864</v>
      </c>
      <c r="P72">
        <v>585116</v>
      </c>
      <c r="Q72" s="9">
        <v>0.44753689344000003</v>
      </c>
      <c r="R72">
        <f>Telengana_Results_2024[[#This Row],[BJP votes]]-Telengana_Results_2024[[#This Row],[Max Votes Other Than BJP]]</f>
        <v>225209</v>
      </c>
      <c r="S72" s="10">
        <f>Telengana_Results_2024[[#This Row],[BJP vote share]]-Telengana_Results_2024[[#This Row],[Max Vote share other than bjp ]]</f>
        <v>0.17225530704000003</v>
      </c>
      <c r="T72">
        <v>1798168</v>
      </c>
      <c r="U72" s="8">
        <v>0.73106294850999998</v>
      </c>
      <c r="V72" s="1" t="s">
        <v>26</v>
      </c>
    </row>
    <row r="73" spans="1:22" x14ac:dyDescent="0.35">
      <c r="A73">
        <v>2024</v>
      </c>
      <c r="B73" s="1" t="s">
        <v>19</v>
      </c>
      <c r="C73" s="1" t="s">
        <v>869</v>
      </c>
      <c r="D73" s="1" t="s">
        <v>885</v>
      </c>
      <c r="E73" s="1" t="s">
        <v>21</v>
      </c>
      <c r="F73" s="1" t="s">
        <v>205</v>
      </c>
      <c r="G73" s="1" t="s">
        <v>112</v>
      </c>
      <c r="H73" s="1" t="s">
        <v>53</v>
      </c>
      <c r="I73" s="1" t="s">
        <v>206</v>
      </c>
      <c r="J73">
        <v>1314574</v>
      </c>
      <c r="K73">
        <v>1307414</v>
      </c>
      <c r="L73">
        <v>2096</v>
      </c>
      <c r="M73" s="9">
        <v>1.6031647206E-3</v>
      </c>
      <c r="N73">
        <v>359907</v>
      </c>
      <c r="O73" s="9">
        <v>0.2752815864</v>
      </c>
      <c r="P73">
        <v>585116</v>
      </c>
      <c r="Q73" s="9">
        <v>0.44753689344000003</v>
      </c>
      <c r="R73">
        <f>Telengana_Results_2024[[#This Row],[BJP votes]]-Telengana_Results_2024[[#This Row],[Max Votes Other Than BJP]]</f>
        <v>225209</v>
      </c>
      <c r="S73" s="10">
        <f>Telengana_Results_2024[[#This Row],[BJP vote share]]-Telengana_Results_2024[[#This Row],[Max Vote share other than bjp ]]</f>
        <v>0.17225530704000003</v>
      </c>
      <c r="T73">
        <v>1798168</v>
      </c>
      <c r="U73" s="8">
        <v>0.73106294850999998</v>
      </c>
      <c r="V73" s="1" t="s">
        <v>26</v>
      </c>
    </row>
    <row r="74" spans="1:22" x14ac:dyDescent="0.35">
      <c r="A74">
        <v>2024</v>
      </c>
      <c r="B74" s="1" t="s">
        <v>19</v>
      </c>
      <c r="C74" s="1" t="s">
        <v>869</v>
      </c>
      <c r="D74" s="1" t="s">
        <v>886</v>
      </c>
      <c r="E74" s="1" t="s">
        <v>21</v>
      </c>
      <c r="F74" s="1" t="s">
        <v>99</v>
      </c>
      <c r="G74" s="1" t="s">
        <v>112</v>
      </c>
      <c r="H74" s="1" t="s">
        <v>536</v>
      </c>
      <c r="I74" s="1" t="s">
        <v>823</v>
      </c>
      <c r="J74">
        <v>1314574</v>
      </c>
      <c r="K74">
        <v>1307414</v>
      </c>
      <c r="L74">
        <v>1924</v>
      </c>
      <c r="M74" s="9">
        <v>1.4716073103000001E-3</v>
      </c>
      <c r="N74">
        <v>359907</v>
      </c>
      <c r="O74" s="9">
        <v>0.2752815864</v>
      </c>
      <c r="P74">
        <v>585116</v>
      </c>
      <c r="Q74" s="9">
        <v>0.44753689344000003</v>
      </c>
      <c r="R74">
        <f>Telengana_Results_2024[[#This Row],[BJP votes]]-Telengana_Results_2024[[#This Row],[Max Votes Other Than BJP]]</f>
        <v>225209</v>
      </c>
      <c r="S74" s="10">
        <f>Telengana_Results_2024[[#This Row],[BJP vote share]]-Telengana_Results_2024[[#This Row],[Max Vote share other than bjp ]]</f>
        <v>0.17225530704000003</v>
      </c>
      <c r="T74">
        <v>1798168</v>
      </c>
      <c r="U74" s="8">
        <v>0.73106294850999998</v>
      </c>
      <c r="V74" s="1" t="s">
        <v>26</v>
      </c>
    </row>
    <row r="75" spans="1:22" x14ac:dyDescent="0.35">
      <c r="A75">
        <v>2024</v>
      </c>
      <c r="B75" s="1" t="s">
        <v>19</v>
      </c>
      <c r="C75" s="1" t="s">
        <v>869</v>
      </c>
      <c r="D75" s="1" t="s">
        <v>887</v>
      </c>
      <c r="E75" s="1" t="s">
        <v>35</v>
      </c>
      <c r="F75" s="1" t="s">
        <v>95</v>
      </c>
      <c r="G75" s="1" t="s">
        <v>67</v>
      </c>
      <c r="H75" s="1" t="s">
        <v>53</v>
      </c>
      <c r="I75" s="1" t="s">
        <v>791</v>
      </c>
      <c r="J75">
        <v>1314574</v>
      </c>
      <c r="K75">
        <v>1307414</v>
      </c>
      <c r="L75">
        <v>1744</v>
      </c>
      <c r="M75" s="9">
        <v>1.3339309506999999E-3</v>
      </c>
      <c r="N75">
        <v>359907</v>
      </c>
      <c r="O75" s="9">
        <v>0.2752815864</v>
      </c>
      <c r="P75">
        <v>585116</v>
      </c>
      <c r="Q75" s="9">
        <v>0.44753689344000003</v>
      </c>
      <c r="R75">
        <f>Telengana_Results_2024[[#This Row],[BJP votes]]-Telengana_Results_2024[[#This Row],[Max Votes Other Than BJP]]</f>
        <v>225209</v>
      </c>
      <c r="S75" s="10">
        <f>Telengana_Results_2024[[#This Row],[BJP vote share]]-Telengana_Results_2024[[#This Row],[Max Vote share other than bjp ]]</f>
        <v>0.17225530704000003</v>
      </c>
      <c r="T75">
        <v>1798168</v>
      </c>
      <c r="U75" s="8">
        <v>0.73106294850999998</v>
      </c>
      <c r="V75" s="1" t="s">
        <v>26</v>
      </c>
    </row>
    <row r="76" spans="1:22" x14ac:dyDescent="0.35">
      <c r="A76">
        <v>2024</v>
      </c>
      <c r="B76" s="1" t="s">
        <v>19</v>
      </c>
      <c r="C76" s="1" t="s">
        <v>869</v>
      </c>
      <c r="D76" s="1" t="s">
        <v>888</v>
      </c>
      <c r="E76" s="1" t="s">
        <v>21</v>
      </c>
      <c r="F76" s="1" t="s">
        <v>234</v>
      </c>
      <c r="G76" s="1" t="s">
        <v>112</v>
      </c>
      <c r="H76" s="1" t="s">
        <v>53</v>
      </c>
      <c r="I76" s="1" t="s">
        <v>284</v>
      </c>
      <c r="J76">
        <v>1314574</v>
      </c>
      <c r="K76">
        <v>1307414</v>
      </c>
      <c r="L76">
        <v>1694</v>
      </c>
      <c r="M76" s="9">
        <v>1.2956875174999999E-3</v>
      </c>
      <c r="N76">
        <v>359907</v>
      </c>
      <c r="O76" s="9">
        <v>0.2752815864</v>
      </c>
      <c r="P76">
        <v>585116</v>
      </c>
      <c r="Q76" s="9">
        <v>0.44753689344000003</v>
      </c>
      <c r="R76">
        <f>Telengana_Results_2024[[#This Row],[BJP votes]]-Telengana_Results_2024[[#This Row],[Max Votes Other Than BJP]]</f>
        <v>225209</v>
      </c>
      <c r="S76" s="10">
        <f>Telengana_Results_2024[[#This Row],[BJP vote share]]-Telengana_Results_2024[[#This Row],[Max Vote share other than bjp ]]</f>
        <v>0.17225530704000003</v>
      </c>
      <c r="T76">
        <v>1798168</v>
      </c>
      <c r="U76" s="8">
        <v>0.73106294850999998</v>
      </c>
      <c r="V76" s="1" t="s">
        <v>26</v>
      </c>
    </row>
    <row r="77" spans="1:22" x14ac:dyDescent="0.35">
      <c r="A77">
        <v>2024</v>
      </c>
      <c r="B77" s="1" t="s">
        <v>19</v>
      </c>
      <c r="C77" s="1" t="s">
        <v>869</v>
      </c>
      <c r="D77" s="1" t="s">
        <v>889</v>
      </c>
      <c r="E77" s="1" t="s">
        <v>21</v>
      </c>
      <c r="F77" s="1" t="s">
        <v>56</v>
      </c>
      <c r="G77" s="1" t="s">
        <v>112</v>
      </c>
      <c r="H77" s="1" t="s">
        <v>860</v>
      </c>
      <c r="I77" s="1" t="s">
        <v>890</v>
      </c>
      <c r="J77">
        <v>1314574</v>
      </c>
      <c r="K77">
        <v>1307414</v>
      </c>
      <c r="L77">
        <v>1613</v>
      </c>
      <c r="M77" s="9">
        <v>1.2337331557000001E-3</v>
      </c>
      <c r="N77">
        <v>359907</v>
      </c>
      <c r="O77" s="9">
        <v>0.2752815864</v>
      </c>
      <c r="P77">
        <v>585116</v>
      </c>
      <c r="Q77" s="9">
        <v>0.44753689344000003</v>
      </c>
      <c r="R77">
        <f>Telengana_Results_2024[[#This Row],[BJP votes]]-Telengana_Results_2024[[#This Row],[Max Votes Other Than BJP]]</f>
        <v>225209</v>
      </c>
      <c r="S77" s="10">
        <f>Telengana_Results_2024[[#This Row],[BJP vote share]]-Telengana_Results_2024[[#This Row],[Max Vote share other than bjp ]]</f>
        <v>0.17225530704000003</v>
      </c>
      <c r="T77">
        <v>1798168</v>
      </c>
      <c r="U77" s="8">
        <v>0.73106294850999998</v>
      </c>
      <c r="V77" s="1" t="s">
        <v>26</v>
      </c>
    </row>
    <row r="78" spans="1:22" x14ac:dyDescent="0.35">
      <c r="A78">
        <v>2024</v>
      </c>
      <c r="B78" s="1" t="s">
        <v>19</v>
      </c>
      <c r="C78" s="1" t="s">
        <v>869</v>
      </c>
      <c r="D78" s="1" t="s">
        <v>891</v>
      </c>
      <c r="E78" s="1" t="s">
        <v>21</v>
      </c>
      <c r="F78" s="1" t="s">
        <v>117</v>
      </c>
      <c r="G78" s="1" t="s">
        <v>67</v>
      </c>
      <c r="H78" s="1" t="s">
        <v>53</v>
      </c>
      <c r="I78" s="1" t="s">
        <v>892</v>
      </c>
      <c r="J78">
        <v>1314574</v>
      </c>
      <c r="K78">
        <v>1307414</v>
      </c>
      <c r="L78">
        <v>1474</v>
      </c>
      <c r="M78" s="9">
        <v>1.1274164112999999E-3</v>
      </c>
      <c r="N78">
        <v>359907</v>
      </c>
      <c r="O78" s="9">
        <v>0.2752815864</v>
      </c>
      <c r="P78">
        <v>585116</v>
      </c>
      <c r="Q78" s="9">
        <v>0.44753689344000003</v>
      </c>
      <c r="R78">
        <f>Telengana_Results_2024[[#This Row],[BJP votes]]-Telengana_Results_2024[[#This Row],[Max Votes Other Than BJP]]</f>
        <v>225209</v>
      </c>
      <c r="S78" s="10">
        <f>Telengana_Results_2024[[#This Row],[BJP vote share]]-Telengana_Results_2024[[#This Row],[Max Vote share other than bjp ]]</f>
        <v>0.17225530704000003</v>
      </c>
      <c r="T78">
        <v>1798168</v>
      </c>
      <c r="U78" s="8">
        <v>0.73106294850999998</v>
      </c>
      <c r="V78" s="1" t="s">
        <v>26</v>
      </c>
    </row>
    <row r="79" spans="1:22" x14ac:dyDescent="0.35">
      <c r="A79">
        <v>2024</v>
      </c>
      <c r="B79" s="1" t="s">
        <v>19</v>
      </c>
      <c r="C79" s="1" t="s">
        <v>869</v>
      </c>
      <c r="D79" s="1" t="s">
        <v>893</v>
      </c>
      <c r="E79" s="1" t="s">
        <v>35</v>
      </c>
      <c r="F79" s="1" t="s">
        <v>135</v>
      </c>
      <c r="G79" s="1" t="s">
        <v>112</v>
      </c>
      <c r="H79" s="1" t="s">
        <v>53</v>
      </c>
      <c r="I79" s="1" t="s">
        <v>158</v>
      </c>
      <c r="J79">
        <v>1314574</v>
      </c>
      <c r="K79">
        <v>1307414</v>
      </c>
      <c r="L79">
        <v>1125</v>
      </c>
      <c r="M79" s="9">
        <v>8.6047724744999995E-4</v>
      </c>
      <c r="N79">
        <v>359907</v>
      </c>
      <c r="O79" s="9">
        <v>0.2752815864</v>
      </c>
      <c r="P79">
        <v>585116</v>
      </c>
      <c r="Q79" s="9">
        <v>0.44753689344000003</v>
      </c>
      <c r="R79">
        <f>Telengana_Results_2024[[#This Row],[BJP votes]]-Telengana_Results_2024[[#This Row],[Max Votes Other Than BJP]]</f>
        <v>225209</v>
      </c>
      <c r="S79" s="10">
        <f>Telengana_Results_2024[[#This Row],[BJP vote share]]-Telengana_Results_2024[[#This Row],[Max Vote share other than bjp ]]</f>
        <v>0.17225530704000003</v>
      </c>
      <c r="T79">
        <v>1798168</v>
      </c>
      <c r="U79" s="8">
        <v>0.73106294850999998</v>
      </c>
      <c r="V79" s="1" t="s">
        <v>26</v>
      </c>
    </row>
    <row r="80" spans="1:22" x14ac:dyDescent="0.35">
      <c r="A80">
        <v>2024</v>
      </c>
      <c r="B80" s="1" t="s">
        <v>19</v>
      </c>
      <c r="C80" s="1" t="s">
        <v>869</v>
      </c>
      <c r="D80" s="1" t="s">
        <v>894</v>
      </c>
      <c r="E80" s="1" t="s">
        <v>21</v>
      </c>
      <c r="F80" s="1" t="s">
        <v>120</v>
      </c>
      <c r="G80" s="1" t="s">
        <v>67</v>
      </c>
      <c r="H80" s="1" t="s">
        <v>150</v>
      </c>
      <c r="I80" s="1" t="s">
        <v>151</v>
      </c>
      <c r="J80">
        <v>1314574</v>
      </c>
      <c r="K80">
        <v>1307414</v>
      </c>
      <c r="L80">
        <v>994</v>
      </c>
      <c r="M80" s="9">
        <v>7.6027945242E-4</v>
      </c>
      <c r="N80">
        <v>359907</v>
      </c>
      <c r="O80" s="9">
        <v>0.2752815864</v>
      </c>
      <c r="P80">
        <v>585116</v>
      </c>
      <c r="Q80" s="9">
        <v>0.44753689344000003</v>
      </c>
      <c r="R80">
        <f>Telengana_Results_2024[[#This Row],[BJP votes]]-Telengana_Results_2024[[#This Row],[Max Votes Other Than BJP]]</f>
        <v>225209</v>
      </c>
      <c r="S80" s="10">
        <f>Telengana_Results_2024[[#This Row],[BJP vote share]]-Telengana_Results_2024[[#This Row],[Max Vote share other than bjp ]]</f>
        <v>0.17225530704000003</v>
      </c>
      <c r="T80">
        <v>1798168</v>
      </c>
      <c r="U80" s="8">
        <v>0.73106294850999998</v>
      </c>
      <c r="V80" s="1" t="s">
        <v>26</v>
      </c>
    </row>
    <row r="81" spans="1:22" x14ac:dyDescent="0.35">
      <c r="A81">
        <v>2024</v>
      </c>
      <c r="B81" s="1" t="s">
        <v>19</v>
      </c>
      <c r="C81" s="1" t="s">
        <v>869</v>
      </c>
      <c r="D81" s="1" t="s">
        <v>895</v>
      </c>
      <c r="E81" s="1" t="s">
        <v>21</v>
      </c>
      <c r="F81" s="1" t="s">
        <v>642</v>
      </c>
      <c r="G81" s="1" t="s">
        <v>112</v>
      </c>
      <c r="H81" s="1" t="s">
        <v>53</v>
      </c>
      <c r="I81" s="1" t="s">
        <v>167</v>
      </c>
      <c r="J81">
        <v>1314574</v>
      </c>
      <c r="K81">
        <v>1307414</v>
      </c>
      <c r="L81">
        <v>928</v>
      </c>
      <c r="M81" s="9">
        <v>7.0979812056000001E-4</v>
      </c>
      <c r="N81">
        <v>359907</v>
      </c>
      <c r="O81" s="9">
        <v>0.2752815864</v>
      </c>
      <c r="P81">
        <v>585116</v>
      </c>
      <c r="Q81" s="9">
        <v>0.44753689344000003</v>
      </c>
      <c r="R81">
        <f>Telengana_Results_2024[[#This Row],[BJP votes]]-Telengana_Results_2024[[#This Row],[Max Votes Other Than BJP]]</f>
        <v>225209</v>
      </c>
      <c r="S81" s="10">
        <f>Telengana_Results_2024[[#This Row],[BJP vote share]]-Telengana_Results_2024[[#This Row],[Max Vote share other than bjp ]]</f>
        <v>0.17225530704000003</v>
      </c>
      <c r="T81">
        <v>1798168</v>
      </c>
      <c r="U81" s="8">
        <v>0.73106294850999998</v>
      </c>
      <c r="V81" s="1" t="s">
        <v>26</v>
      </c>
    </row>
    <row r="82" spans="1:22" x14ac:dyDescent="0.35">
      <c r="A82">
        <v>2024</v>
      </c>
      <c r="B82" s="1" t="s">
        <v>19</v>
      </c>
      <c r="C82" s="1" t="s">
        <v>869</v>
      </c>
      <c r="D82" s="1" t="s">
        <v>896</v>
      </c>
      <c r="E82" s="1" t="s">
        <v>21</v>
      </c>
      <c r="F82" s="1" t="s">
        <v>120</v>
      </c>
      <c r="G82" s="1" t="s">
        <v>112</v>
      </c>
      <c r="H82" s="1" t="s">
        <v>53</v>
      </c>
      <c r="I82" s="1" t="s">
        <v>897</v>
      </c>
      <c r="J82">
        <v>1314574</v>
      </c>
      <c r="K82">
        <v>1307414</v>
      </c>
      <c r="L82">
        <v>889</v>
      </c>
      <c r="M82" s="9">
        <v>6.7996824265000001E-4</v>
      </c>
      <c r="N82">
        <v>359907</v>
      </c>
      <c r="O82" s="9">
        <v>0.2752815864</v>
      </c>
      <c r="P82">
        <v>585116</v>
      </c>
      <c r="Q82" s="9">
        <v>0.44753689344000003</v>
      </c>
      <c r="R82">
        <f>Telengana_Results_2024[[#This Row],[BJP votes]]-Telengana_Results_2024[[#This Row],[Max Votes Other Than BJP]]</f>
        <v>225209</v>
      </c>
      <c r="S82" s="10">
        <f>Telengana_Results_2024[[#This Row],[BJP vote share]]-Telengana_Results_2024[[#This Row],[Max Vote share other than bjp ]]</f>
        <v>0.17225530704000003</v>
      </c>
      <c r="T82">
        <v>1798168</v>
      </c>
      <c r="U82" s="8">
        <v>0.73106294850999998</v>
      </c>
      <c r="V82" s="1" t="s">
        <v>26</v>
      </c>
    </row>
    <row r="83" spans="1:22" x14ac:dyDescent="0.35">
      <c r="A83">
        <v>2024</v>
      </c>
      <c r="B83" s="1" t="s">
        <v>19</v>
      </c>
      <c r="C83" s="1" t="s">
        <v>869</v>
      </c>
      <c r="D83" s="1" t="s">
        <v>898</v>
      </c>
      <c r="E83" s="1" t="s">
        <v>21</v>
      </c>
      <c r="F83" s="1" t="s">
        <v>44</v>
      </c>
      <c r="G83" s="1" t="s">
        <v>112</v>
      </c>
      <c r="H83" s="1" t="s">
        <v>77</v>
      </c>
      <c r="I83" s="1" t="s">
        <v>828</v>
      </c>
      <c r="J83">
        <v>1314574</v>
      </c>
      <c r="K83">
        <v>1307414</v>
      </c>
      <c r="L83">
        <v>830</v>
      </c>
      <c r="M83" s="9">
        <v>6.3484099145000002E-4</v>
      </c>
      <c r="N83">
        <v>359907</v>
      </c>
      <c r="O83" s="9">
        <v>0.2752815864</v>
      </c>
      <c r="P83">
        <v>585116</v>
      </c>
      <c r="Q83" s="9">
        <v>0.44753689344000003</v>
      </c>
      <c r="R83">
        <f>Telengana_Results_2024[[#This Row],[BJP votes]]-Telengana_Results_2024[[#This Row],[Max Votes Other Than BJP]]</f>
        <v>225209</v>
      </c>
      <c r="S83" s="10">
        <f>Telengana_Results_2024[[#This Row],[BJP vote share]]-Telengana_Results_2024[[#This Row],[Max Vote share other than bjp ]]</f>
        <v>0.17225530704000003</v>
      </c>
      <c r="T83">
        <v>1798168</v>
      </c>
      <c r="U83" s="8">
        <v>0.73106294850999998</v>
      </c>
      <c r="V83" s="1" t="s">
        <v>26</v>
      </c>
    </row>
    <row r="84" spans="1:22" x14ac:dyDescent="0.35">
      <c r="A84">
        <v>2024</v>
      </c>
      <c r="B84" s="1" t="s">
        <v>19</v>
      </c>
      <c r="C84" s="1" t="s">
        <v>869</v>
      </c>
      <c r="D84" s="1" t="s">
        <v>899</v>
      </c>
      <c r="E84" s="1" t="s">
        <v>21</v>
      </c>
      <c r="F84" s="1" t="s">
        <v>36</v>
      </c>
      <c r="G84" s="1" t="s">
        <v>112</v>
      </c>
      <c r="H84" s="1" t="s">
        <v>900</v>
      </c>
      <c r="I84" s="1" t="s">
        <v>54</v>
      </c>
      <c r="J84">
        <v>1314574</v>
      </c>
      <c r="K84">
        <v>1307414</v>
      </c>
      <c r="L84">
        <v>790</v>
      </c>
      <c r="M84" s="9">
        <v>6.0424624487999997E-4</v>
      </c>
      <c r="N84">
        <v>359907</v>
      </c>
      <c r="O84" s="9">
        <v>0.2752815864</v>
      </c>
      <c r="P84">
        <v>585116</v>
      </c>
      <c r="Q84" s="9">
        <v>0.44753689344000003</v>
      </c>
      <c r="R84">
        <f>Telengana_Results_2024[[#This Row],[BJP votes]]-Telengana_Results_2024[[#This Row],[Max Votes Other Than BJP]]</f>
        <v>225209</v>
      </c>
      <c r="S84" s="10">
        <f>Telengana_Results_2024[[#This Row],[BJP vote share]]-Telengana_Results_2024[[#This Row],[Max Vote share other than bjp ]]</f>
        <v>0.17225530704000003</v>
      </c>
      <c r="T84">
        <v>1798168</v>
      </c>
      <c r="U84" s="8">
        <v>0.73106294850999998</v>
      </c>
      <c r="V84" s="1" t="s">
        <v>26</v>
      </c>
    </row>
    <row r="85" spans="1:22" x14ac:dyDescent="0.35">
      <c r="A85">
        <v>2024</v>
      </c>
      <c r="B85" s="1" t="s">
        <v>19</v>
      </c>
      <c r="C85" s="1" t="s">
        <v>869</v>
      </c>
      <c r="D85" s="1" t="s">
        <v>901</v>
      </c>
      <c r="E85" s="1" t="s">
        <v>21</v>
      </c>
      <c r="F85" s="1" t="s">
        <v>28</v>
      </c>
      <c r="G85" s="1" t="s">
        <v>112</v>
      </c>
      <c r="H85" s="1" t="s">
        <v>53</v>
      </c>
      <c r="I85" s="1" t="s">
        <v>491</v>
      </c>
      <c r="J85">
        <v>1314574</v>
      </c>
      <c r="K85">
        <v>1307414</v>
      </c>
      <c r="L85">
        <v>575</v>
      </c>
      <c r="M85" s="9">
        <v>4.3979948203E-4</v>
      </c>
      <c r="N85">
        <v>359907</v>
      </c>
      <c r="O85" s="9">
        <v>0.2752815864</v>
      </c>
      <c r="P85">
        <v>585116</v>
      </c>
      <c r="Q85" s="9">
        <v>0.44753689344000003</v>
      </c>
      <c r="R85">
        <f>Telengana_Results_2024[[#This Row],[BJP votes]]-Telengana_Results_2024[[#This Row],[Max Votes Other Than BJP]]</f>
        <v>225209</v>
      </c>
      <c r="S85" s="10">
        <f>Telengana_Results_2024[[#This Row],[BJP vote share]]-Telengana_Results_2024[[#This Row],[Max Vote share other than bjp ]]</f>
        <v>0.17225530704000003</v>
      </c>
      <c r="T85">
        <v>1798168</v>
      </c>
      <c r="U85" s="8">
        <v>0.73106294850999998</v>
      </c>
      <c r="V85" s="1" t="s">
        <v>26</v>
      </c>
    </row>
    <row r="86" spans="1:22" x14ac:dyDescent="0.35">
      <c r="A86">
        <v>2024</v>
      </c>
      <c r="B86" s="1" t="s">
        <v>19</v>
      </c>
      <c r="C86" s="1" t="s">
        <v>869</v>
      </c>
      <c r="D86" s="1" t="s">
        <v>902</v>
      </c>
      <c r="E86" s="1" t="s">
        <v>21</v>
      </c>
      <c r="F86" s="1" t="s">
        <v>183</v>
      </c>
      <c r="G86" s="1" t="s">
        <v>112</v>
      </c>
      <c r="H86" s="1" t="s">
        <v>53</v>
      </c>
      <c r="I86" s="1" t="s">
        <v>457</v>
      </c>
      <c r="J86">
        <v>1314574</v>
      </c>
      <c r="K86">
        <v>1307414</v>
      </c>
      <c r="L86">
        <v>465</v>
      </c>
      <c r="M86" s="9">
        <v>3.5566392895000003E-4</v>
      </c>
      <c r="N86">
        <v>359907</v>
      </c>
      <c r="O86" s="9">
        <v>0.2752815864</v>
      </c>
      <c r="P86">
        <v>585116</v>
      </c>
      <c r="Q86" s="9">
        <v>0.44753689344000003</v>
      </c>
      <c r="R86">
        <f>Telengana_Results_2024[[#This Row],[BJP votes]]-Telengana_Results_2024[[#This Row],[Max Votes Other Than BJP]]</f>
        <v>225209</v>
      </c>
      <c r="S86" s="10">
        <f>Telengana_Results_2024[[#This Row],[BJP vote share]]-Telengana_Results_2024[[#This Row],[Max Vote share other than bjp ]]</f>
        <v>0.17225530704000003</v>
      </c>
      <c r="T86">
        <v>1798168</v>
      </c>
      <c r="U86" s="8">
        <v>0.73106294850999998</v>
      </c>
      <c r="V86" s="1" t="s">
        <v>26</v>
      </c>
    </row>
    <row r="87" spans="1:22" x14ac:dyDescent="0.35">
      <c r="A87">
        <v>2024</v>
      </c>
      <c r="B87" s="1" t="s">
        <v>19</v>
      </c>
      <c r="C87" s="1" t="s">
        <v>140</v>
      </c>
      <c r="D87" s="1" t="s">
        <v>141</v>
      </c>
      <c r="E87" s="1" t="s">
        <v>21</v>
      </c>
      <c r="F87" s="1" t="s">
        <v>59</v>
      </c>
      <c r="G87" s="1" t="s">
        <v>112</v>
      </c>
      <c r="H87" s="1" t="s">
        <v>32</v>
      </c>
      <c r="I87" s="1" t="s">
        <v>33</v>
      </c>
      <c r="J87">
        <v>1233995</v>
      </c>
      <c r="K87">
        <v>1229098</v>
      </c>
      <c r="L87">
        <v>592318</v>
      </c>
      <c r="M87" s="9">
        <v>0.48191275228000002</v>
      </c>
      <c r="N87">
        <v>483077</v>
      </c>
      <c r="O87" s="9">
        <v>0.39303375321</v>
      </c>
      <c r="P87">
        <v>592318</v>
      </c>
      <c r="Q87" s="9">
        <v>0.48191275228000002</v>
      </c>
      <c r="R87">
        <f>Telengana_Results_2024[[#This Row],[BJP votes]]-Telengana_Results_2024[[#This Row],[Max Votes Other Than BJP]]</f>
        <v>109241</v>
      </c>
      <c r="S87" s="10">
        <f>Telengana_Results_2024[[#This Row],[BJP vote share]]-Telengana_Results_2024[[#This Row],[Max Vote share other than bjp ]]</f>
        <v>8.887899907000002E-2</v>
      </c>
      <c r="T87">
        <v>1705591</v>
      </c>
      <c r="U87" s="8">
        <v>0.72349994810999996</v>
      </c>
      <c r="V87" s="1" t="s">
        <v>26</v>
      </c>
    </row>
    <row r="88" spans="1:22" x14ac:dyDescent="0.35">
      <c r="A88">
        <v>2024</v>
      </c>
      <c r="B88" s="1" t="s">
        <v>19</v>
      </c>
      <c r="C88" s="1" t="s">
        <v>140</v>
      </c>
      <c r="D88" s="1" t="s">
        <v>903</v>
      </c>
      <c r="E88" s="1" t="s">
        <v>21</v>
      </c>
      <c r="F88" s="1" t="s">
        <v>904</v>
      </c>
      <c r="G88" s="1" t="s">
        <v>112</v>
      </c>
      <c r="H88" s="1" t="s">
        <v>29</v>
      </c>
      <c r="I88" s="1" t="s">
        <v>30</v>
      </c>
      <c r="J88">
        <v>1233995</v>
      </c>
      <c r="K88">
        <v>1229098</v>
      </c>
      <c r="L88">
        <v>483077</v>
      </c>
      <c r="M88" s="9">
        <v>0.39303375321</v>
      </c>
      <c r="N88">
        <v>483077</v>
      </c>
      <c r="O88" s="9">
        <v>0.39303375321</v>
      </c>
      <c r="P88">
        <v>592318</v>
      </c>
      <c r="Q88" s="9">
        <v>0.48191275228000002</v>
      </c>
      <c r="R88">
        <f>Telengana_Results_2024[[#This Row],[BJP votes]]-Telengana_Results_2024[[#This Row],[Max Votes Other Than BJP]]</f>
        <v>109241</v>
      </c>
      <c r="S88" s="10">
        <f>Telengana_Results_2024[[#This Row],[BJP vote share]]-Telengana_Results_2024[[#This Row],[Max Vote share other than bjp ]]</f>
        <v>8.887899907000002E-2</v>
      </c>
      <c r="T88">
        <v>1705591</v>
      </c>
      <c r="U88" s="8">
        <v>0.72349994810999996</v>
      </c>
      <c r="V88" s="1" t="s">
        <v>26</v>
      </c>
    </row>
    <row r="89" spans="1:22" x14ac:dyDescent="0.35">
      <c r="A89">
        <v>2024</v>
      </c>
      <c r="B89" s="1" t="s">
        <v>19</v>
      </c>
      <c r="C89" s="1" t="s">
        <v>140</v>
      </c>
      <c r="D89" s="1" t="s">
        <v>905</v>
      </c>
      <c r="E89" s="1" t="s">
        <v>21</v>
      </c>
      <c r="F89" s="1" t="s">
        <v>618</v>
      </c>
      <c r="G89" s="1" t="s">
        <v>112</v>
      </c>
      <c r="H89" s="1" t="s">
        <v>785</v>
      </c>
      <c r="I89" s="1" t="s">
        <v>25</v>
      </c>
      <c r="J89">
        <v>1233995</v>
      </c>
      <c r="K89">
        <v>1229098</v>
      </c>
      <c r="L89">
        <v>102406</v>
      </c>
      <c r="M89" s="9">
        <v>8.3318010442999996E-2</v>
      </c>
      <c r="N89">
        <v>483077</v>
      </c>
      <c r="O89" s="9">
        <v>0.39303375321</v>
      </c>
      <c r="P89">
        <v>592318</v>
      </c>
      <c r="Q89" s="9">
        <v>0.48191275228000002</v>
      </c>
      <c r="R89">
        <f>Telengana_Results_2024[[#This Row],[BJP votes]]-Telengana_Results_2024[[#This Row],[Max Votes Other Than BJP]]</f>
        <v>109241</v>
      </c>
      <c r="S89" s="10">
        <f>Telengana_Results_2024[[#This Row],[BJP vote share]]-Telengana_Results_2024[[#This Row],[Max Vote share other than bjp ]]</f>
        <v>8.887899907000002E-2</v>
      </c>
      <c r="T89">
        <v>1705591</v>
      </c>
      <c r="U89" s="8">
        <v>0.72349994810999996</v>
      </c>
      <c r="V89" s="1" t="s">
        <v>26</v>
      </c>
    </row>
    <row r="90" spans="1:22" x14ac:dyDescent="0.35">
      <c r="A90">
        <v>2024</v>
      </c>
      <c r="B90" s="1" t="s">
        <v>19</v>
      </c>
      <c r="C90" s="1" t="s">
        <v>140</v>
      </c>
      <c r="D90" s="1" t="s">
        <v>906</v>
      </c>
      <c r="E90" s="1" t="s">
        <v>35</v>
      </c>
      <c r="F90" s="1" t="s">
        <v>71</v>
      </c>
      <c r="G90" s="1" t="s">
        <v>112</v>
      </c>
      <c r="H90" s="1" t="s">
        <v>53</v>
      </c>
      <c r="I90" s="1" t="s">
        <v>892</v>
      </c>
      <c r="J90">
        <v>1233995</v>
      </c>
      <c r="K90">
        <v>1229098</v>
      </c>
      <c r="L90">
        <v>5710</v>
      </c>
      <c r="M90" s="9">
        <v>4.6456832572000003E-3</v>
      </c>
      <c r="N90">
        <v>483077</v>
      </c>
      <c r="O90" s="9">
        <v>0.39303375321</v>
      </c>
      <c r="P90">
        <v>592318</v>
      </c>
      <c r="Q90" s="9">
        <v>0.48191275228000002</v>
      </c>
      <c r="R90">
        <f>Telengana_Results_2024[[#This Row],[BJP votes]]-Telengana_Results_2024[[#This Row],[Max Votes Other Than BJP]]</f>
        <v>109241</v>
      </c>
      <c r="S90" s="10">
        <f>Telengana_Results_2024[[#This Row],[BJP vote share]]-Telengana_Results_2024[[#This Row],[Max Vote share other than bjp ]]</f>
        <v>8.887899907000002E-2</v>
      </c>
      <c r="T90">
        <v>1705591</v>
      </c>
      <c r="U90" s="8">
        <v>0.72349994810999996</v>
      </c>
      <c r="V90" s="1" t="s">
        <v>26</v>
      </c>
    </row>
    <row r="91" spans="1:22" x14ac:dyDescent="0.35">
      <c r="A91">
        <v>2024</v>
      </c>
      <c r="B91" s="1" t="s">
        <v>19</v>
      </c>
      <c r="C91" s="1" t="s">
        <v>140</v>
      </c>
      <c r="D91" s="1" t="s">
        <v>907</v>
      </c>
      <c r="E91" s="1" t="s">
        <v>21</v>
      </c>
      <c r="F91" s="1" t="s">
        <v>117</v>
      </c>
      <c r="G91" s="1" t="s">
        <v>112</v>
      </c>
      <c r="H91" s="1" t="s">
        <v>787</v>
      </c>
      <c r="I91" s="1" t="s">
        <v>788</v>
      </c>
      <c r="J91">
        <v>1233995</v>
      </c>
      <c r="K91">
        <v>1229098</v>
      </c>
      <c r="L91">
        <v>5453</v>
      </c>
      <c r="M91" s="9">
        <v>4.4365868302999999E-3</v>
      </c>
      <c r="N91">
        <v>483077</v>
      </c>
      <c r="O91" s="9">
        <v>0.39303375321</v>
      </c>
      <c r="P91">
        <v>592318</v>
      </c>
      <c r="Q91" s="9">
        <v>0.48191275228000002</v>
      </c>
      <c r="R91">
        <f>Telengana_Results_2024[[#This Row],[BJP votes]]-Telengana_Results_2024[[#This Row],[Max Votes Other Than BJP]]</f>
        <v>109241</v>
      </c>
      <c r="S91" s="10">
        <f>Telengana_Results_2024[[#This Row],[BJP vote share]]-Telengana_Results_2024[[#This Row],[Max Vote share other than bjp ]]</f>
        <v>8.887899907000002E-2</v>
      </c>
      <c r="T91">
        <v>1705591</v>
      </c>
      <c r="U91" s="8">
        <v>0.72349994810999996</v>
      </c>
      <c r="V91" s="1" t="s">
        <v>26</v>
      </c>
    </row>
    <row r="92" spans="1:22" x14ac:dyDescent="0.35">
      <c r="A92">
        <v>2024</v>
      </c>
      <c r="B92" s="1" t="s">
        <v>19</v>
      </c>
      <c r="C92" s="1" t="s">
        <v>140</v>
      </c>
      <c r="D92" s="1" t="s">
        <v>908</v>
      </c>
      <c r="E92" s="1" t="s">
        <v>21</v>
      </c>
      <c r="F92" s="1" t="s">
        <v>91</v>
      </c>
      <c r="G92" s="1" t="s">
        <v>112</v>
      </c>
      <c r="H92" s="1" t="s">
        <v>53</v>
      </c>
      <c r="I92" s="1" t="s">
        <v>897</v>
      </c>
      <c r="J92">
        <v>1233995</v>
      </c>
      <c r="K92">
        <v>1229098</v>
      </c>
      <c r="L92">
        <v>5312</v>
      </c>
      <c r="M92" s="9">
        <v>4.3218685573E-3</v>
      </c>
      <c r="N92">
        <v>483077</v>
      </c>
      <c r="O92" s="9">
        <v>0.39303375321</v>
      </c>
      <c r="P92">
        <v>592318</v>
      </c>
      <c r="Q92" s="9">
        <v>0.48191275228000002</v>
      </c>
      <c r="R92">
        <f>Telengana_Results_2024[[#This Row],[BJP votes]]-Telengana_Results_2024[[#This Row],[Max Votes Other Than BJP]]</f>
        <v>109241</v>
      </c>
      <c r="S92" s="10">
        <f>Telengana_Results_2024[[#This Row],[BJP vote share]]-Telengana_Results_2024[[#This Row],[Max Vote share other than bjp ]]</f>
        <v>8.887899907000002E-2</v>
      </c>
      <c r="T92">
        <v>1705591</v>
      </c>
      <c r="U92" s="8">
        <v>0.72349994810999996</v>
      </c>
      <c r="V92" s="1" t="s">
        <v>26</v>
      </c>
    </row>
    <row r="93" spans="1:22" x14ac:dyDescent="0.35">
      <c r="A93">
        <v>2024</v>
      </c>
      <c r="B93" s="1" t="s">
        <v>19</v>
      </c>
      <c r="C93" s="1" t="s">
        <v>140</v>
      </c>
      <c r="D93" s="1" t="s">
        <v>64</v>
      </c>
      <c r="E93" s="1" t="s">
        <v>64</v>
      </c>
      <c r="F93" s="1" t="s">
        <v>64</v>
      </c>
      <c r="G93" s="1" t="s">
        <v>64</v>
      </c>
      <c r="H93" s="1" t="s">
        <v>64</v>
      </c>
      <c r="I93" s="1" t="s">
        <v>64</v>
      </c>
      <c r="J93">
        <v>1233995</v>
      </c>
      <c r="K93">
        <v>1229098</v>
      </c>
      <c r="L93">
        <v>4483</v>
      </c>
      <c r="M93" s="9">
        <v>3.6473902E-3</v>
      </c>
      <c r="N93">
        <v>483077</v>
      </c>
      <c r="O93" s="9">
        <v>0.39303375321</v>
      </c>
      <c r="P93">
        <v>592318</v>
      </c>
      <c r="Q93" s="9">
        <v>0.48191275228000002</v>
      </c>
      <c r="R93">
        <f>Telengana_Results_2024[[#This Row],[BJP votes]]-Telengana_Results_2024[[#This Row],[Max Votes Other Than BJP]]</f>
        <v>109241</v>
      </c>
      <c r="S93" s="10">
        <f>Telengana_Results_2024[[#This Row],[BJP vote share]]-Telengana_Results_2024[[#This Row],[Max Vote share other than bjp ]]</f>
        <v>8.887899907000002E-2</v>
      </c>
      <c r="T93">
        <v>1705591</v>
      </c>
      <c r="U93" s="8">
        <v>0.72349994810999996</v>
      </c>
      <c r="V93" s="1" t="s">
        <v>26</v>
      </c>
    </row>
    <row r="94" spans="1:22" x14ac:dyDescent="0.35">
      <c r="A94">
        <v>2024</v>
      </c>
      <c r="B94" s="1" t="s">
        <v>19</v>
      </c>
      <c r="C94" s="1" t="s">
        <v>140</v>
      </c>
      <c r="D94" s="1" t="s">
        <v>909</v>
      </c>
      <c r="E94" s="1" t="s">
        <v>21</v>
      </c>
      <c r="F94" s="1" t="s">
        <v>234</v>
      </c>
      <c r="G94" s="1" t="s">
        <v>112</v>
      </c>
      <c r="H94" s="1" t="s">
        <v>72</v>
      </c>
      <c r="I94" s="1" t="s">
        <v>73</v>
      </c>
      <c r="J94">
        <v>1233995</v>
      </c>
      <c r="K94">
        <v>1229098</v>
      </c>
      <c r="L94">
        <v>4263</v>
      </c>
      <c r="M94" s="9">
        <v>3.4683971497999999E-3</v>
      </c>
      <c r="N94">
        <v>483077</v>
      </c>
      <c r="O94" s="9">
        <v>0.39303375321</v>
      </c>
      <c r="P94">
        <v>592318</v>
      </c>
      <c r="Q94" s="9">
        <v>0.48191275228000002</v>
      </c>
      <c r="R94">
        <f>Telengana_Results_2024[[#This Row],[BJP votes]]-Telengana_Results_2024[[#This Row],[Max Votes Other Than BJP]]</f>
        <v>109241</v>
      </c>
      <c r="S94" s="10">
        <f>Telengana_Results_2024[[#This Row],[BJP vote share]]-Telengana_Results_2024[[#This Row],[Max Vote share other than bjp ]]</f>
        <v>8.887899907000002E-2</v>
      </c>
      <c r="T94">
        <v>1705591</v>
      </c>
      <c r="U94" s="8">
        <v>0.72349994810999996</v>
      </c>
      <c r="V94" s="1" t="s">
        <v>26</v>
      </c>
    </row>
    <row r="95" spans="1:22" x14ac:dyDescent="0.35">
      <c r="A95">
        <v>2024</v>
      </c>
      <c r="B95" s="1" t="s">
        <v>19</v>
      </c>
      <c r="C95" s="1" t="s">
        <v>140</v>
      </c>
      <c r="D95" s="1" t="s">
        <v>910</v>
      </c>
      <c r="E95" s="1" t="s">
        <v>21</v>
      </c>
      <c r="F95" s="1" t="s">
        <v>173</v>
      </c>
      <c r="G95" s="1" t="s">
        <v>112</v>
      </c>
      <c r="H95" s="1" t="s">
        <v>53</v>
      </c>
      <c r="I95" s="1" t="s">
        <v>911</v>
      </c>
      <c r="J95">
        <v>1233995</v>
      </c>
      <c r="K95">
        <v>1229098</v>
      </c>
      <c r="L95">
        <v>4091</v>
      </c>
      <c r="M95" s="9">
        <v>3.3284571286999998E-3</v>
      </c>
      <c r="N95">
        <v>483077</v>
      </c>
      <c r="O95" s="9">
        <v>0.39303375321</v>
      </c>
      <c r="P95">
        <v>592318</v>
      </c>
      <c r="Q95" s="9">
        <v>0.48191275228000002</v>
      </c>
      <c r="R95">
        <f>Telengana_Results_2024[[#This Row],[BJP votes]]-Telengana_Results_2024[[#This Row],[Max Votes Other Than BJP]]</f>
        <v>109241</v>
      </c>
      <c r="S95" s="10">
        <f>Telengana_Results_2024[[#This Row],[BJP vote share]]-Telengana_Results_2024[[#This Row],[Max Vote share other than bjp ]]</f>
        <v>8.887899907000002E-2</v>
      </c>
      <c r="T95">
        <v>1705591</v>
      </c>
      <c r="U95" s="8">
        <v>0.72349994810999996</v>
      </c>
      <c r="V95" s="1" t="s">
        <v>26</v>
      </c>
    </row>
    <row r="96" spans="1:22" x14ac:dyDescent="0.35">
      <c r="A96">
        <v>2024</v>
      </c>
      <c r="B96" s="1" t="s">
        <v>19</v>
      </c>
      <c r="C96" s="1" t="s">
        <v>140</v>
      </c>
      <c r="D96" s="1" t="s">
        <v>912</v>
      </c>
      <c r="E96" s="1" t="s">
        <v>21</v>
      </c>
      <c r="F96" s="1" t="s">
        <v>71</v>
      </c>
      <c r="G96" s="1" t="s">
        <v>67</v>
      </c>
      <c r="H96" s="1" t="s">
        <v>798</v>
      </c>
      <c r="I96" s="1" t="s">
        <v>749</v>
      </c>
      <c r="J96">
        <v>1233995</v>
      </c>
      <c r="K96">
        <v>1229098</v>
      </c>
      <c r="L96">
        <v>3886</v>
      </c>
      <c r="M96" s="9">
        <v>3.1616681501E-3</v>
      </c>
      <c r="N96">
        <v>483077</v>
      </c>
      <c r="O96" s="9">
        <v>0.39303375321</v>
      </c>
      <c r="P96">
        <v>592318</v>
      </c>
      <c r="Q96" s="9">
        <v>0.48191275228000002</v>
      </c>
      <c r="R96">
        <f>Telengana_Results_2024[[#This Row],[BJP votes]]-Telengana_Results_2024[[#This Row],[Max Votes Other Than BJP]]</f>
        <v>109241</v>
      </c>
      <c r="S96" s="10">
        <f>Telengana_Results_2024[[#This Row],[BJP vote share]]-Telengana_Results_2024[[#This Row],[Max Vote share other than bjp ]]</f>
        <v>8.887899907000002E-2</v>
      </c>
      <c r="T96">
        <v>1705591</v>
      </c>
      <c r="U96" s="8">
        <v>0.72349994810999996</v>
      </c>
      <c r="V96" s="1" t="s">
        <v>26</v>
      </c>
    </row>
    <row r="97" spans="1:22" x14ac:dyDescent="0.35">
      <c r="A97">
        <v>2024</v>
      </c>
      <c r="B97" s="1" t="s">
        <v>19</v>
      </c>
      <c r="C97" s="1" t="s">
        <v>140</v>
      </c>
      <c r="D97" s="1" t="s">
        <v>913</v>
      </c>
      <c r="E97" s="1" t="s">
        <v>21</v>
      </c>
      <c r="F97" s="1" t="s">
        <v>75</v>
      </c>
      <c r="G97" s="1" t="s">
        <v>67</v>
      </c>
      <c r="H97" s="1" t="s">
        <v>560</v>
      </c>
      <c r="I97" s="1" t="s">
        <v>820</v>
      </c>
      <c r="J97">
        <v>1233995</v>
      </c>
      <c r="K97">
        <v>1229098</v>
      </c>
      <c r="L97">
        <v>3024</v>
      </c>
      <c r="M97" s="9">
        <v>2.4603408352999998E-3</v>
      </c>
      <c r="N97">
        <v>483077</v>
      </c>
      <c r="O97" s="9">
        <v>0.39303375321</v>
      </c>
      <c r="P97">
        <v>592318</v>
      </c>
      <c r="Q97" s="9">
        <v>0.48191275228000002</v>
      </c>
      <c r="R97">
        <f>Telengana_Results_2024[[#This Row],[BJP votes]]-Telengana_Results_2024[[#This Row],[Max Votes Other Than BJP]]</f>
        <v>109241</v>
      </c>
      <c r="S97" s="10">
        <f>Telengana_Results_2024[[#This Row],[BJP vote share]]-Telengana_Results_2024[[#This Row],[Max Vote share other than bjp ]]</f>
        <v>8.887899907000002E-2</v>
      </c>
      <c r="T97">
        <v>1705591</v>
      </c>
      <c r="U97" s="8">
        <v>0.72349994810999996</v>
      </c>
      <c r="V97" s="1" t="s">
        <v>26</v>
      </c>
    </row>
    <row r="98" spans="1:22" x14ac:dyDescent="0.35">
      <c r="A98">
        <v>2024</v>
      </c>
      <c r="B98" s="1" t="s">
        <v>19</v>
      </c>
      <c r="C98" s="1" t="s">
        <v>140</v>
      </c>
      <c r="D98" s="1" t="s">
        <v>914</v>
      </c>
      <c r="E98" s="1" t="s">
        <v>21</v>
      </c>
      <c r="F98" s="1" t="s">
        <v>95</v>
      </c>
      <c r="G98" s="1" t="s">
        <v>112</v>
      </c>
      <c r="H98" s="1" t="s">
        <v>53</v>
      </c>
      <c r="I98" s="1" t="s">
        <v>915</v>
      </c>
      <c r="J98">
        <v>1233995</v>
      </c>
      <c r="K98">
        <v>1229098</v>
      </c>
      <c r="L98">
        <v>2907</v>
      </c>
      <c r="M98" s="9">
        <v>2.3651490767999999E-3</v>
      </c>
      <c r="N98">
        <v>483077</v>
      </c>
      <c r="O98" s="9">
        <v>0.39303375321</v>
      </c>
      <c r="P98">
        <v>592318</v>
      </c>
      <c r="Q98" s="9">
        <v>0.48191275228000002</v>
      </c>
      <c r="R98">
        <f>Telengana_Results_2024[[#This Row],[BJP votes]]-Telengana_Results_2024[[#This Row],[Max Votes Other Than BJP]]</f>
        <v>109241</v>
      </c>
      <c r="S98" s="10">
        <f>Telengana_Results_2024[[#This Row],[BJP vote share]]-Telengana_Results_2024[[#This Row],[Max Vote share other than bjp ]]</f>
        <v>8.887899907000002E-2</v>
      </c>
      <c r="T98">
        <v>1705591</v>
      </c>
      <c r="U98" s="8">
        <v>0.72349994810999996</v>
      </c>
      <c r="V98" s="1" t="s">
        <v>26</v>
      </c>
    </row>
    <row r="99" spans="1:22" x14ac:dyDescent="0.35">
      <c r="A99">
        <v>2024</v>
      </c>
      <c r="B99" s="1" t="s">
        <v>19</v>
      </c>
      <c r="C99" s="1" t="s">
        <v>140</v>
      </c>
      <c r="D99" s="1" t="s">
        <v>916</v>
      </c>
      <c r="E99" s="1" t="s">
        <v>21</v>
      </c>
      <c r="F99" s="1" t="s">
        <v>155</v>
      </c>
      <c r="G99" s="1" t="s">
        <v>112</v>
      </c>
      <c r="H99" s="1" t="s">
        <v>53</v>
      </c>
      <c r="I99" s="1" t="s">
        <v>127</v>
      </c>
      <c r="J99">
        <v>1233995</v>
      </c>
      <c r="K99">
        <v>1229098</v>
      </c>
      <c r="L99">
        <v>2106</v>
      </c>
      <c r="M99" s="9">
        <v>1.7134516531999999E-3</v>
      </c>
      <c r="N99">
        <v>483077</v>
      </c>
      <c r="O99" s="9">
        <v>0.39303375321</v>
      </c>
      <c r="P99">
        <v>592318</v>
      </c>
      <c r="Q99" s="9">
        <v>0.48191275228000002</v>
      </c>
      <c r="R99">
        <f>Telengana_Results_2024[[#This Row],[BJP votes]]-Telengana_Results_2024[[#This Row],[Max Votes Other Than BJP]]</f>
        <v>109241</v>
      </c>
      <c r="S99" s="10">
        <f>Telengana_Results_2024[[#This Row],[BJP vote share]]-Telengana_Results_2024[[#This Row],[Max Vote share other than bjp ]]</f>
        <v>8.887899907000002E-2</v>
      </c>
      <c r="T99">
        <v>1705591</v>
      </c>
      <c r="U99" s="8">
        <v>0.72349994810999996</v>
      </c>
      <c r="V99" s="1" t="s">
        <v>26</v>
      </c>
    </row>
    <row r="100" spans="1:22" x14ac:dyDescent="0.35">
      <c r="A100">
        <v>2024</v>
      </c>
      <c r="B100" s="1" t="s">
        <v>19</v>
      </c>
      <c r="C100" s="1" t="s">
        <v>140</v>
      </c>
      <c r="D100" s="1" t="s">
        <v>917</v>
      </c>
      <c r="E100" s="1" t="s">
        <v>21</v>
      </c>
      <c r="F100" s="1" t="s">
        <v>205</v>
      </c>
      <c r="G100" s="1" t="s">
        <v>112</v>
      </c>
      <c r="H100" s="1" t="s">
        <v>53</v>
      </c>
      <c r="I100" s="1" t="s">
        <v>206</v>
      </c>
      <c r="J100">
        <v>1233995</v>
      </c>
      <c r="K100">
        <v>1229098</v>
      </c>
      <c r="L100">
        <v>2074</v>
      </c>
      <c r="M100" s="9">
        <v>1.6874163004E-3</v>
      </c>
      <c r="N100">
        <v>483077</v>
      </c>
      <c r="O100" s="9">
        <v>0.39303375321</v>
      </c>
      <c r="P100">
        <v>592318</v>
      </c>
      <c r="Q100" s="9">
        <v>0.48191275228000002</v>
      </c>
      <c r="R100">
        <f>Telengana_Results_2024[[#This Row],[BJP votes]]-Telengana_Results_2024[[#This Row],[Max Votes Other Than BJP]]</f>
        <v>109241</v>
      </c>
      <c r="S100" s="10">
        <f>Telengana_Results_2024[[#This Row],[BJP vote share]]-Telengana_Results_2024[[#This Row],[Max Vote share other than bjp ]]</f>
        <v>8.887899907000002E-2</v>
      </c>
      <c r="T100">
        <v>1705591</v>
      </c>
      <c r="U100" s="8">
        <v>0.72349994810999996</v>
      </c>
      <c r="V100" s="1" t="s">
        <v>26</v>
      </c>
    </row>
    <row r="101" spans="1:22" x14ac:dyDescent="0.35">
      <c r="A101">
        <v>2024</v>
      </c>
      <c r="B101" s="1" t="s">
        <v>19</v>
      </c>
      <c r="C101" s="1" t="s">
        <v>140</v>
      </c>
      <c r="D101" s="1" t="s">
        <v>918</v>
      </c>
      <c r="E101" s="1" t="s">
        <v>21</v>
      </c>
      <c r="F101" s="1" t="s">
        <v>22</v>
      </c>
      <c r="G101" s="1" t="s">
        <v>23</v>
      </c>
      <c r="H101" s="1" t="s">
        <v>53</v>
      </c>
      <c r="I101" s="1" t="s">
        <v>791</v>
      </c>
      <c r="J101">
        <v>1233995</v>
      </c>
      <c r="K101">
        <v>1229098</v>
      </c>
      <c r="L101">
        <v>1723</v>
      </c>
      <c r="M101" s="9">
        <v>1.4018410249000001E-3</v>
      </c>
      <c r="N101">
        <v>483077</v>
      </c>
      <c r="O101" s="9">
        <v>0.39303375321</v>
      </c>
      <c r="P101">
        <v>592318</v>
      </c>
      <c r="Q101" s="9">
        <v>0.48191275228000002</v>
      </c>
      <c r="R101">
        <f>Telengana_Results_2024[[#This Row],[BJP votes]]-Telengana_Results_2024[[#This Row],[Max Votes Other Than BJP]]</f>
        <v>109241</v>
      </c>
      <c r="S101" s="10">
        <f>Telengana_Results_2024[[#This Row],[BJP vote share]]-Telengana_Results_2024[[#This Row],[Max Vote share other than bjp ]]</f>
        <v>8.887899907000002E-2</v>
      </c>
      <c r="T101">
        <v>1705591</v>
      </c>
      <c r="U101" s="8">
        <v>0.72349994810999996</v>
      </c>
      <c r="V101" s="1" t="s">
        <v>26</v>
      </c>
    </row>
    <row r="102" spans="1:22" x14ac:dyDescent="0.35">
      <c r="A102">
        <v>2024</v>
      </c>
      <c r="B102" s="1" t="s">
        <v>19</v>
      </c>
      <c r="C102" s="1" t="s">
        <v>140</v>
      </c>
      <c r="D102" s="1" t="s">
        <v>919</v>
      </c>
      <c r="E102" s="1" t="s">
        <v>21</v>
      </c>
      <c r="F102" s="1" t="s">
        <v>71</v>
      </c>
      <c r="G102" s="1" t="s">
        <v>112</v>
      </c>
      <c r="H102" s="1" t="s">
        <v>795</v>
      </c>
      <c r="I102" s="1" t="s">
        <v>818</v>
      </c>
      <c r="J102">
        <v>1233995</v>
      </c>
      <c r="K102">
        <v>1229098</v>
      </c>
      <c r="L102">
        <v>1468</v>
      </c>
      <c r="M102" s="9">
        <v>1.1943718076E-3</v>
      </c>
      <c r="N102">
        <v>483077</v>
      </c>
      <c r="O102" s="9">
        <v>0.39303375321</v>
      </c>
      <c r="P102">
        <v>592318</v>
      </c>
      <c r="Q102" s="9">
        <v>0.48191275228000002</v>
      </c>
      <c r="R102">
        <f>Telengana_Results_2024[[#This Row],[BJP votes]]-Telengana_Results_2024[[#This Row],[Max Votes Other Than BJP]]</f>
        <v>109241</v>
      </c>
      <c r="S102" s="10">
        <f>Telengana_Results_2024[[#This Row],[BJP vote share]]-Telengana_Results_2024[[#This Row],[Max Vote share other than bjp ]]</f>
        <v>8.887899907000002E-2</v>
      </c>
      <c r="T102">
        <v>1705591</v>
      </c>
      <c r="U102" s="8">
        <v>0.72349994810999996</v>
      </c>
      <c r="V102" s="1" t="s">
        <v>26</v>
      </c>
    </row>
    <row r="103" spans="1:22" x14ac:dyDescent="0.35">
      <c r="A103">
        <v>2024</v>
      </c>
      <c r="B103" s="1" t="s">
        <v>19</v>
      </c>
      <c r="C103" s="1" t="s">
        <v>140</v>
      </c>
      <c r="D103" s="1" t="s">
        <v>920</v>
      </c>
      <c r="E103" s="1" t="s">
        <v>21</v>
      </c>
      <c r="F103" s="1" t="s">
        <v>44</v>
      </c>
      <c r="G103" s="1" t="s">
        <v>112</v>
      </c>
      <c r="H103" s="1" t="s">
        <v>921</v>
      </c>
      <c r="I103" s="1" t="s">
        <v>796</v>
      </c>
      <c r="J103">
        <v>1233995</v>
      </c>
      <c r="K103">
        <v>1229098</v>
      </c>
      <c r="L103">
        <v>1129</v>
      </c>
      <c r="M103" s="9">
        <v>9.1855978937000003E-4</v>
      </c>
      <c r="N103">
        <v>483077</v>
      </c>
      <c r="O103" s="9">
        <v>0.39303375321</v>
      </c>
      <c r="P103">
        <v>592318</v>
      </c>
      <c r="Q103" s="9">
        <v>0.48191275228000002</v>
      </c>
      <c r="R103">
        <f>Telengana_Results_2024[[#This Row],[BJP votes]]-Telengana_Results_2024[[#This Row],[Max Votes Other Than BJP]]</f>
        <v>109241</v>
      </c>
      <c r="S103" s="10">
        <f>Telengana_Results_2024[[#This Row],[BJP vote share]]-Telengana_Results_2024[[#This Row],[Max Vote share other than bjp ]]</f>
        <v>8.887899907000002E-2</v>
      </c>
      <c r="T103">
        <v>1705591</v>
      </c>
      <c r="U103" s="8">
        <v>0.72349994810999996</v>
      </c>
      <c r="V103" s="1" t="s">
        <v>26</v>
      </c>
    </row>
    <row r="104" spans="1:22" x14ac:dyDescent="0.35">
      <c r="A104">
        <v>2024</v>
      </c>
      <c r="B104" s="1" t="s">
        <v>19</v>
      </c>
      <c r="C104" s="1" t="s">
        <v>140</v>
      </c>
      <c r="D104" s="1" t="s">
        <v>922</v>
      </c>
      <c r="E104" s="1" t="s">
        <v>21</v>
      </c>
      <c r="F104" s="1" t="s">
        <v>62</v>
      </c>
      <c r="G104" s="1" t="s">
        <v>112</v>
      </c>
      <c r="H104" s="1" t="s">
        <v>53</v>
      </c>
      <c r="I104" s="1" t="s">
        <v>457</v>
      </c>
      <c r="J104">
        <v>1233995</v>
      </c>
      <c r="K104">
        <v>1229098</v>
      </c>
      <c r="L104">
        <v>1048</v>
      </c>
      <c r="M104" s="9">
        <v>8.5265780270999997E-4</v>
      </c>
      <c r="N104">
        <v>483077</v>
      </c>
      <c r="O104" s="9">
        <v>0.39303375321</v>
      </c>
      <c r="P104">
        <v>592318</v>
      </c>
      <c r="Q104" s="9">
        <v>0.48191275228000002</v>
      </c>
      <c r="R104">
        <f>Telengana_Results_2024[[#This Row],[BJP votes]]-Telengana_Results_2024[[#This Row],[Max Votes Other Than BJP]]</f>
        <v>109241</v>
      </c>
      <c r="S104" s="10">
        <f>Telengana_Results_2024[[#This Row],[BJP vote share]]-Telengana_Results_2024[[#This Row],[Max Vote share other than bjp ]]</f>
        <v>8.887899907000002E-2</v>
      </c>
      <c r="T104">
        <v>1705591</v>
      </c>
      <c r="U104" s="8">
        <v>0.72349994810999996</v>
      </c>
      <c r="V104" s="1" t="s">
        <v>26</v>
      </c>
    </row>
    <row r="105" spans="1:22" x14ac:dyDescent="0.35">
      <c r="A105">
        <v>2024</v>
      </c>
      <c r="B105" s="1" t="s">
        <v>19</v>
      </c>
      <c r="C105" s="1" t="s">
        <v>140</v>
      </c>
      <c r="D105" s="1" t="s">
        <v>923</v>
      </c>
      <c r="E105" s="1" t="s">
        <v>21</v>
      </c>
      <c r="F105" s="1" t="s">
        <v>95</v>
      </c>
      <c r="G105" s="1" t="s">
        <v>23</v>
      </c>
      <c r="H105" s="1" t="s">
        <v>53</v>
      </c>
      <c r="I105" s="1" t="s">
        <v>161</v>
      </c>
      <c r="J105">
        <v>1233995</v>
      </c>
      <c r="K105">
        <v>1229098</v>
      </c>
      <c r="L105">
        <v>919</v>
      </c>
      <c r="M105" s="9">
        <v>7.4770278692000002E-4</v>
      </c>
      <c r="N105">
        <v>483077</v>
      </c>
      <c r="O105" s="9">
        <v>0.39303375321</v>
      </c>
      <c r="P105">
        <v>592318</v>
      </c>
      <c r="Q105" s="9">
        <v>0.48191275228000002</v>
      </c>
      <c r="R105">
        <f>Telengana_Results_2024[[#This Row],[BJP votes]]-Telengana_Results_2024[[#This Row],[Max Votes Other Than BJP]]</f>
        <v>109241</v>
      </c>
      <c r="S105" s="10">
        <f>Telengana_Results_2024[[#This Row],[BJP vote share]]-Telengana_Results_2024[[#This Row],[Max Vote share other than bjp ]]</f>
        <v>8.887899907000002E-2</v>
      </c>
      <c r="T105">
        <v>1705591</v>
      </c>
      <c r="U105" s="8">
        <v>0.72349994810999996</v>
      </c>
      <c r="V105" s="1" t="s">
        <v>26</v>
      </c>
    </row>
    <row r="106" spans="1:22" x14ac:dyDescent="0.35">
      <c r="A106">
        <v>2024</v>
      </c>
      <c r="B106" s="1" t="s">
        <v>19</v>
      </c>
      <c r="C106" s="1" t="s">
        <v>140</v>
      </c>
      <c r="D106" s="1" t="s">
        <v>924</v>
      </c>
      <c r="E106" s="1" t="s">
        <v>21</v>
      </c>
      <c r="F106" s="1" t="s">
        <v>62</v>
      </c>
      <c r="G106" s="1" t="s">
        <v>112</v>
      </c>
      <c r="H106" s="1" t="s">
        <v>84</v>
      </c>
      <c r="I106" s="1" t="s">
        <v>85</v>
      </c>
      <c r="J106">
        <v>1233995</v>
      </c>
      <c r="K106">
        <v>1229098</v>
      </c>
      <c r="L106">
        <v>830</v>
      </c>
      <c r="M106" s="9">
        <v>6.7529196207000001E-4</v>
      </c>
      <c r="N106">
        <v>483077</v>
      </c>
      <c r="O106" s="9">
        <v>0.39303375321</v>
      </c>
      <c r="P106">
        <v>592318</v>
      </c>
      <c r="Q106" s="9">
        <v>0.48191275228000002</v>
      </c>
      <c r="R106">
        <f>Telengana_Results_2024[[#This Row],[BJP votes]]-Telengana_Results_2024[[#This Row],[Max Votes Other Than BJP]]</f>
        <v>109241</v>
      </c>
      <c r="S106" s="10">
        <f>Telengana_Results_2024[[#This Row],[BJP vote share]]-Telengana_Results_2024[[#This Row],[Max Vote share other than bjp ]]</f>
        <v>8.887899907000002E-2</v>
      </c>
      <c r="T106">
        <v>1705591</v>
      </c>
      <c r="U106" s="8">
        <v>0.72349994810999996</v>
      </c>
      <c r="V106" s="1" t="s">
        <v>26</v>
      </c>
    </row>
    <row r="107" spans="1:22" x14ac:dyDescent="0.35">
      <c r="A107">
        <v>2024</v>
      </c>
      <c r="B107" s="1" t="s">
        <v>19</v>
      </c>
      <c r="C107" s="1" t="s">
        <v>140</v>
      </c>
      <c r="D107" s="1" t="s">
        <v>447</v>
      </c>
      <c r="E107" s="1" t="s">
        <v>21</v>
      </c>
      <c r="F107" s="1" t="s">
        <v>234</v>
      </c>
      <c r="G107" s="1" t="s">
        <v>112</v>
      </c>
      <c r="H107" s="1" t="s">
        <v>53</v>
      </c>
      <c r="I107" s="1" t="s">
        <v>194</v>
      </c>
      <c r="J107">
        <v>1233995</v>
      </c>
      <c r="K107">
        <v>1229098</v>
      </c>
      <c r="L107">
        <v>793</v>
      </c>
      <c r="M107" s="9">
        <v>6.4518858544999999E-4</v>
      </c>
      <c r="N107">
        <v>483077</v>
      </c>
      <c r="O107" s="9">
        <v>0.39303375321</v>
      </c>
      <c r="P107">
        <v>592318</v>
      </c>
      <c r="Q107" s="9">
        <v>0.48191275228000002</v>
      </c>
      <c r="R107">
        <f>Telengana_Results_2024[[#This Row],[BJP votes]]-Telengana_Results_2024[[#This Row],[Max Votes Other Than BJP]]</f>
        <v>109241</v>
      </c>
      <c r="S107" s="10">
        <f>Telengana_Results_2024[[#This Row],[BJP vote share]]-Telengana_Results_2024[[#This Row],[Max Vote share other than bjp ]]</f>
        <v>8.887899907000002E-2</v>
      </c>
      <c r="T107">
        <v>1705591</v>
      </c>
      <c r="U107" s="8">
        <v>0.72349994810999996</v>
      </c>
      <c r="V107" s="1" t="s">
        <v>26</v>
      </c>
    </row>
    <row r="108" spans="1:22" x14ac:dyDescent="0.35">
      <c r="A108">
        <v>2024</v>
      </c>
      <c r="B108" s="1" t="s">
        <v>19</v>
      </c>
      <c r="C108" s="1" t="s">
        <v>140</v>
      </c>
      <c r="D108" s="1" t="s">
        <v>925</v>
      </c>
      <c r="E108" s="1" t="s">
        <v>21</v>
      </c>
      <c r="F108" s="1" t="s">
        <v>176</v>
      </c>
      <c r="G108" s="1" t="s">
        <v>112</v>
      </c>
      <c r="H108" s="1" t="s">
        <v>53</v>
      </c>
      <c r="I108" s="1" t="s">
        <v>129</v>
      </c>
      <c r="J108">
        <v>1233995</v>
      </c>
      <c r="K108">
        <v>1229098</v>
      </c>
      <c r="L108">
        <v>723</v>
      </c>
      <c r="M108" s="9">
        <v>5.8823625130000003E-4</v>
      </c>
      <c r="N108">
        <v>483077</v>
      </c>
      <c r="O108" s="9">
        <v>0.39303375321</v>
      </c>
      <c r="P108">
        <v>592318</v>
      </c>
      <c r="Q108" s="9">
        <v>0.48191275228000002</v>
      </c>
      <c r="R108">
        <f>Telengana_Results_2024[[#This Row],[BJP votes]]-Telengana_Results_2024[[#This Row],[Max Votes Other Than BJP]]</f>
        <v>109241</v>
      </c>
      <c r="S108" s="10">
        <f>Telengana_Results_2024[[#This Row],[BJP vote share]]-Telengana_Results_2024[[#This Row],[Max Vote share other than bjp ]]</f>
        <v>8.887899907000002E-2</v>
      </c>
      <c r="T108">
        <v>1705591</v>
      </c>
      <c r="U108" s="8">
        <v>0.72349994810999996</v>
      </c>
      <c r="V108" s="1" t="s">
        <v>26</v>
      </c>
    </row>
    <row r="109" spans="1:22" x14ac:dyDescent="0.35">
      <c r="A109">
        <v>2024</v>
      </c>
      <c r="B109" s="1" t="s">
        <v>19</v>
      </c>
      <c r="C109" s="1" t="s">
        <v>140</v>
      </c>
      <c r="D109" s="1" t="s">
        <v>926</v>
      </c>
      <c r="E109" s="1" t="s">
        <v>21</v>
      </c>
      <c r="F109" s="1" t="s">
        <v>75</v>
      </c>
      <c r="G109" s="1" t="s">
        <v>112</v>
      </c>
      <c r="H109" s="1" t="s">
        <v>927</v>
      </c>
      <c r="I109" s="1" t="s">
        <v>427</v>
      </c>
      <c r="J109">
        <v>1233995</v>
      </c>
      <c r="K109">
        <v>1229098</v>
      </c>
      <c r="L109">
        <v>649</v>
      </c>
      <c r="M109" s="9">
        <v>5.2802949804999996E-4</v>
      </c>
      <c r="N109">
        <v>483077</v>
      </c>
      <c r="O109" s="9">
        <v>0.39303375321</v>
      </c>
      <c r="P109">
        <v>592318</v>
      </c>
      <c r="Q109" s="9">
        <v>0.48191275228000002</v>
      </c>
      <c r="R109">
        <f>Telengana_Results_2024[[#This Row],[BJP votes]]-Telengana_Results_2024[[#This Row],[Max Votes Other Than BJP]]</f>
        <v>109241</v>
      </c>
      <c r="S109" s="10">
        <f>Telengana_Results_2024[[#This Row],[BJP vote share]]-Telengana_Results_2024[[#This Row],[Max Vote share other than bjp ]]</f>
        <v>8.887899907000002E-2</v>
      </c>
      <c r="T109">
        <v>1705591</v>
      </c>
      <c r="U109" s="8">
        <v>0.72349994810999996</v>
      </c>
      <c r="V109" s="1" t="s">
        <v>26</v>
      </c>
    </row>
    <row r="110" spans="1:22" x14ac:dyDescent="0.35">
      <c r="A110">
        <v>2024</v>
      </c>
      <c r="B110" s="1" t="s">
        <v>19</v>
      </c>
      <c r="C110" s="1" t="s">
        <v>140</v>
      </c>
      <c r="D110" s="1" t="s">
        <v>928</v>
      </c>
      <c r="E110" s="1" t="s">
        <v>21</v>
      </c>
      <c r="F110" s="1" t="s">
        <v>44</v>
      </c>
      <c r="G110" s="1" t="s">
        <v>67</v>
      </c>
      <c r="H110" s="1" t="s">
        <v>150</v>
      </c>
      <c r="I110" s="1" t="s">
        <v>151</v>
      </c>
      <c r="J110">
        <v>1233995</v>
      </c>
      <c r="K110">
        <v>1229098</v>
      </c>
      <c r="L110">
        <v>636</v>
      </c>
      <c r="M110" s="9">
        <v>5.1745263600000001E-4</v>
      </c>
      <c r="N110">
        <v>483077</v>
      </c>
      <c r="O110" s="9">
        <v>0.39303375321</v>
      </c>
      <c r="P110">
        <v>592318</v>
      </c>
      <c r="Q110" s="9">
        <v>0.48191275228000002</v>
      </c>
      <c r="R110">
        <f>Telengana_Results_2024[[#This Row],[BJP votes]]-Telengana_Results_2024[[#This Row],[Max Votes Other Than BJP]]</f>
        <v>109241</v>
      </c>
      <c r="S110" s="10">
        <f>Telengana_Results_2024[[#This Row],[BJP vote share]]-Telengana_Results_2024[[#This Row],[Max Vote share other than bjp ]]</f>
        <v>8.887899907000002E-2</v>
      </c>
      <c r="T110">
        <v>1705591</v>
      </c>
      <c r="U110" s="8">
        <v>0.72349994810999996</v>
      </c>
      <c r="V110" s="1" t="s">
        <v>26</v>
      </c>
    </row>
    <row r="111" spans="1:22" x14ac:dyDescent="0.35">
      <c r="A111">
        <v>2024</v>
      </c>
      <c r="B111" s="1" t="s">
        <v>19</v>
      </c>
      <c r="C111" s="1" t="s">
        <v>140</v>
      </c>
      <c r="D111" s="1" t="s">
        <v>929</v>
      </c>
      <c r="E111" s="1" t="s">
        <v>21</v>
      </c>
      <c r="F111" s="1" t="s">
        <v>234</v>
      </c>
      <c r="G111" s="1" t="s">
        <v>23</v>
      </c>
      <c r="H111" s="1" t="s">
        <v>53</v>
      </c>
      <c r="I111" s="1" t="s">
        <v>232</v>
      </c>
      <c r="J111">
        <v>1233995</v>
      </c>
      <c r="K111">
        <v>1229098</v>
      </c>
      <c r="L111">
        <v>581</v>
      </c>
      <c r="M111" s="9">
        <v>4.7270437344999999E-4</v>
      </c>
      <c r="N111">
        <v>483077</v>
      </c>
      <c r="O111" s="9">
        <v>0.39303375321</v>
      </c>
      <c r="P111">
        <v>592318</v>
      </c>
      <c r="Q111" s="9">
        <v>0.48191275228000002</v>
      </c>
      <c r="R111">
        <f>Telengana_Results_2024[[#This Row],[BJP votes]]-Telengana_Results_2024[[#This Row],[Max Votes Other Than BJP]]</f>
        <v>109241</v>
      </c>
      <c r="S111" s="10">
        <f>Telengana_Results_2024[[#This Row],[BJP vote share]]-Telengana_Results_2024[[#This Row],[Max Vote share other than bjp ]]</f>
        <v>8.887899907000002E-2</v>
      </c>
      <c r="T111">
        <v>1705591</v>
      </c>
      <c r="U111" s="8">
        <v>0.72349994810999996</v>
      </c>
      <c r="V111" s="1" t="s">
        <v>26</v>
      </c>
    </row>
    <row r="112" spans="1:22" x14ac:dyDescent="0.35">
      <c r="A112">
        <v>2024</v>
      </c>
      <c r="B112" s="1" t="s">
        <v>19</v>
      </c>
      <c r="C112" s="1" t="s">
        <v>140</v>
      </c>
      <c r="D112" s="1" t="s">
        <v>930</v>
      </c>
      <c r="E112" s="1" t="s">
        <v>21</v>
      </c>
      <c r="F112" s="1" t="s">
        <v>173</v>
      </c>
      <c r="G112" s="1" t="s">
        <v>23</v>
      </c>
      <c r="H112" s="1" t="s">
        <v>800</v>
      </c>
      <c r="I112" s="1" t="s">
        <v>54</v>
      </c>
      <c r="J112">
        <v>1233995</v>
      </c>
      <c r="K112">
        <v>1229098</v>
      </c>
      <c r="L112">
        <v>580</v>
      </c>
      <c r="M112" s="9">
        <v>4.7189076868000001E-4</v>
      </c>
      <c r="N112">
        <v>483077</v>
      </c>
      <c r="O112" s="9">
        <v>0.39303375321</v>
      </c>
      <c r="P112">
        <v>592318</v>
      </c>
      <c r="Q112" s="9">
        <v>0.48191275228000002</v>
      </c>
      <c r="R112">
        <f>Telengana_Results_2024[[#This Row],[BJP votes]]-Telengana_Results_2024[[#This Row],[Max Votes Other Than BJP]]</f>
        <v>109241</v>
      </c>
      <c r="S112" s="10">
        <f>Telengana_Results_2024[[#This Row],[BJP vote share]]-Telengana_Results_2024[[#This Row],[Max Vote share other than bjp ]]</f>
        <v>8.887899907000002E-2</v>
      </c>
      <c r="T112">
        <v>1705591</v>
      </c>
      <c r="U112" s="8">
        <v>0.72349994810999996</v>
      </c>
      <c r="V112" s="1" t="s">
        <v>26</v>
      </c>
    </row>
    <row r="113" spans="1:22" x14ac:dyDescent="0.35">
      <c r="A113">
        <v>2024</v>
      </c>
      <c r="B113" s="1" t="s">
        <v>19</v>
      </c>
      <c r="C113" s="1" t="s">
        <v>140</v>
      </c>
      <c r="D113" s="1" t="s">
        <v>931</v>
      </c>
      <c r="E113" s="1" t="s">
        <v>21</v>
      </c>
      <c r="F113" s="1" t="s">
        <v>559</v>
      </c>
      <c r="G113" s="1" t="s">
        <v>112</v>
      </c>
      <c r="H113" s="1" t="s">
        <v>53</v>
      </c>
      <c r="I113" s="1" t="s">
        <v>60</v>
      </c>
      <c r="J113">
        <v>1233995</v>
      </c>
      <c r="K113">
        <v>1229098</v>
      </c>
      <c r="L113">
        <v>426</v>
      </c>
      <c r="M113" s="9">
        <v>3.4659563355E-4</v>
      </c>
      <c r="N113">
        <v>483077</v>
      </c>
      <c r="O113" s="9">
        <v>0.39303375321</v>
      </c>
      <c r="P113">
        <v>592318</v>
      </c>
      <c r="Q113" s="9">
        <v>0.48191275228000002</v>
      </c>
      <c r="R113">
        <f>Telengana_Results_2024[[#This Row],[BJP votes]]-Telengana_Results_2024[[#This Row],[Max Votes Other Than BJP]]</f>
        <v>109241</v>
      </c>
      <c r="S113" s="10">
        <f>Telengana_Results_2024[[#This Row],[BJP vote share]]-Telengana_Results_2024[[#This Row],[Max Vote share other than bjp ]]</f>
        <v>8.887899907000002E-2</v>
      </c>
      <c r="T113">
        <v>1705591</v>
      </c>
      <c r="U113" s="8">
        <v>0.72349994810999996</v>
      </c>
      <c r="V113" s="1" t="s">
        <v>26</v>
      </c>
    </row>
    <row r="114" spans="1:22" x14ac:dyDescent="0.35">
      <c r="A114">
        <v>2024</v>
      </c>
      <c r="B114" s="1" t="s">
        <v>19</v>
      </c>
      <c r="C114" s="1" t="s">
        <v>140</v>
      </c>
      <c r="D114" s="1" t="s">
        <v>932</v>
      </c>
      <c r="E114" s="1" t="s">
        <v>21</v>
      </c>
      <c r="F114" s="1" t="s">
        <v>117</v>
      </c>
      <c r="G114" s="1" t="s">
        <v>112</v>
      </c>
      <c r="H114" s="1" t="s">
        <v>53</v>
      </c>
      <c r="I114" s="1" t="s">
        <v>57</v>
      </c>
      <c r="J114">
        <v>1233995</v>
      </c>
      <c r="K114">
        <v>1229098</v>
      </c>
      <c r="L114">
        <v>375</v>
      </c>
      <c r="M114" s="9">
        <v>3.0510179008999999E-4</v>
      </c>
      <c r="N114">
        <v>483077</v>
      </c>
      <c r="O114" s="9">
        <v>0.39303375321</v>
      </c>
      <c r="P114">
        <v>592318</v>
      </c>
      <c r="Q114" s="9">
        <v>0.48191275228000002</v>
      </c>
      <c r="R114">
        <f>Telengana_Results_2024[[#This Row],[BJP votes]]-Telengana_Results_2024[[#This Row],[Max Votes Other Than BJP]]</f>
        <v>109241</v>
      </c>
      <c r="S114" s="10">
        <f>Telengana_Results_2024[[#This Row],[BJP vote share]]-Telengana_Results_2024[[#This Row],[Max Vote share other than bjp ]]</f>
        <v>8.887899907000002E-2</v>
      </c>
      <c r="T114">
        <v>1705591</v>
      </c>
      <c r="U114" s="8">
        <v>0.72349994810999996</v>
      </c>
      <c r="V114" s="1" t="s">
        <v>26</v>
      </c>
    </row>
    <row r="115" spans="1:22" x14ac:dyDescent="0.35">
      <c r="A115">
        <v>2024</v>
      </c>
      <c r="B115" s="1" t="s">
        <v>19</v>
      </c>
      <c r="C115" s="1" t="s">
        <v>140</v>
      </c>
      <c r="D115" s="1" t="s">
        <v>933</v>
      </c>
      <c r="E115" s="1" t="s">
        <v>21</v>
      </c>
      <c r="F115" s="1" t="s">
        <v>40</v>
      </c>
      <c r="G115" s="1" t="s">
        <v>67</v>
      </c>
      <c r="H115" s="1" t="s">
        <v>53</v>
      </c>
      <c r="I115" s="1" t="s">
        <v>826</v>
      </c>
      <c r="J115">
        <v>1233995</v>
      </c>
      <c r="K115">
        <v>1229098</v>
      </c>
      <c r="L115">
        <v>307</v>
      </c>
      <c r="M115" s="9">
        <v>2.4977666549000002E-4</v>
      </c>
      <c r="N115">
        <v>483077</v>
      </c>
      <c r="O115" s="9">
        <v>0.39303375321</v>
      </c>
      <c r="P115">
        <v>592318</v>
      </c>
      <c r="Q115" s="9">
        <v>0.48191275228000002</v>
      </c>
      <c r="R115">
        <f>Telengana_Results_2024[[#This Row],[BJP votes]]-Telengana_Results_2024[[#This Row],[Max Votes Other Than BJP]]</f>
        <v>109241</v>
      </c>
      <c r="S115" s="10">
        <f>Telengana_Results_2024[[#This Row],[BJP vote share]]-Telengana_Results_2024[[#This Row],[Max Vote share other than bjp ]]</f>
        <v>8.887899907000002E-2</v>
      </c>
      <c r="T115">
        <v>1705591</v>
      </c>
      <c r="U115" s="8">
        <v>0.72349994810999996</v>
      </c>
      <c r="V115" s="1" t="s">
        <v>26</v>
      </c>
    </row>
    <row r="116" spans="1:22" x14ac:dyDescent="0.35">
      <c r="A116">
        <v>2024</v>
      </c>
      <c r="B116" s="1" t="s">
        <v>19</v>
      </c>
      <c r="C116" s="1" t="s">
        <v>140</v>
      </c>
      <c r="D116" s="1" t="s">
        <v>934</v>
      </c>
      <c r="E116" s="1" t="s">
        <v>21</v>
      </c>
      <c r="F116" s="1" t="s">
        <v>205</v>
      </c>
      <c r="G116" s="1" t="s">
        <v>112</v>
      </c>
      <c r="H116" s="1" t="s">
        <v>53</v>
      </c>
      <c r="I116" s="1" t="s">
        <v>491</v>
      </c>
      <c r="J116">
        <v>1233995</v>
      </c>
      <c r="K116">
        <v>1229098</v>
      </c>
      <c r="L116">
        <v>284</v>
      </c>
      <c r="M116" s="9">
        <v>2.3106375569999999E-4</v>
      </c>
      <c r="N116">
        <v>483077</v>
      </c>
      <c r="O116" s="9">
        <v>0.39303375321</v>
      </c>
      <c r="P116">
        <v>592318</v>
      </c>
      <c r="Q116" s="9">
        <v>0.48191275228000002</v>
      </c>
      <c r="R116">
        <f>Telengana_Results_2024[[#This Row],[BJP votes]]-Telengana_Results_2024[[#This Row],[Max Votes Other Than BJP]]</f>
        <v>109241</v>
      </c>
      <c r="S116" s="10">
        <f>Telengana_Results_2024[[#This Row],[BJP vote share]]-Telengana_Results_2024[[#This Row],[Max Vote share other than bjp ]]</f>
        <v>8.887899907000002E-2</v>
      </c>
      <c r="T116">
        <v>1705591</v>
      </c>
      <c r="U116" s="8">
        <v>0.72349994810999996</v>
      </c>
      <c r="V116" s="1" t="s">
        <v>26</v>
      </c>
    </row>
    <row r="117" spans="1:22" x14ac:dyDescent="0.35">
      <c r="A117">
        <v>2024</v>
      </c>
      <c r="B117" s="1" t="s">
        <v>19</v>
      </c>
      <c r="C117" s="1" t="s">
        <v>503</v>
      </c>
      <c r="D117" s="1" t="s">
        <v>935</v>
      </c>
      <c r="E117" s="1" t="s">
        <v>21</v>
      </c>
      <c r="F117" s="1" t="s">
        <v>87</v>
      </c>
      <c r="G117" s="1" t="s">
        <v>112</v>
      </c>
      <c r="H117" s="1" t="s">
        <v>29</v>
      </c>
      <c r="I117" s="1" t="s">
        <v>30</v>
      </c>
      <c r="J117">
        <v>1236677</v>
      </c>
      <c r="K117">
        <v>1233616</v>
      </c>
      <c r="L117">
        <v>528418</v>
      </c>
      <c r="M117" s="9">
        <v>0.42834885410000001</v>
      </c>
      <c r="N117">
        <v>528418</v>
      </c>
      <c r="O117" s="9">
        <v>0.42834885410000001</v>
      </c>
      <c r="P117">
        <v>482230</v>
      </c>
      <c r="Q117" s="9">
        <v>0.39090770547999998</v>
      </c>
      <c r="R117">
        <f>Telengana_Results_2024[[#This Row],[BJP votes]]-Telengana_Results_2024[[#This Row],[Max Votes Other Than BJP]]</f>
        <v>-46188</v>
      </c>
      <c r="S117" s="10">
        <f>Telengana_Results_2024[[#This Row],[BJP vote share]]-Telengana_Results_2024[[#This Row],[Max Vote share other than bjp ]]</f>
        <v>-3.7441148620000031E-2</v>
      </c>
      <c r="T117">
        <v>1642425</v>
      </c>
      <c r="U117" s="8">
        <v>0.75295797372999995</v>
      </c>
      <c r="V117" s="1" t="s">
        <v>68</v>
      </c>
    </row>
    <row r="118" spans="1:22" x14ac:dyDescent="0.35">
      <c r="A118">
        <v>2024</v>
      </c>
      <c r="B118" s="1" t="s">
        <v>19</v>
      </c>
      <c r="C118" s="1" t="s">
        <v>503</v>
      </c>
      <c r="D118" s="1" t="s">
        <v>936</v>
      </c>
      <c r="E118" s="1" t="s">
        <v>21</v>
      </c>
      <c r="F118" s="1" t="s">
        <v>249</v>
      </c>
      <c r="G118" s="1" t="s">
        <v>112</v>
      </c>
      <c r="H118" s="1" t="s">
        <v>32</v>
      </c>
      <c r="I118" s="1" t="s">
        <v>33</v>
      </c>
      <c r="J118">
        <v>1236677</v>
      </c>
      <c r="K118">
        <v>1233616</v>
      </c>
      <c r="L118">
        <v>482230</v>
      </c>
      <c r="M118" s="9">
        <v>0.39090770547999998</v>
      </c>
      <c r="N118">
        <v>528418</v>
      </c>
      <c r="O118" s="9">
        <v>0.42834885410000001</v>
      </c>
      <c r="P118">
        <v>482230</v>
      </c>
      <c r="Q118" s="9">
        <v>0.39090770547999998</v>
      </c>
      <c r="R118">
        <f>Telengana_Results_2024[[#This Row],[BJP votes]]-Telengana_Results_2024[[#This Row],[Max Votes Other Than BJP]]</f>
        <v>-46188</v>
      </c>
      <c r="S118" s="10">
        <f>Telengana_Results_2024[[#This Row],[BJP vote share]]-Telengana_Results_2024[[#This Row],[Max Vote share other than bjp ]]</f>
        <v>-3.7441148620000031E-2</v>
      </c>
      <c r="T118">
        <v>1642425</v>
      </c>
      <c r="U118" s="8">
        <v>0.75295797372999995</v>
      </c>
      <c r="V118" s="1" t="s">
        <v>68</v>
      </c>
    </row>
    <row r="119" spans="1:22" x14ac:dyDescent="0.35">
      <c r="A119">
        <v>2024</v>
      </c>
      <c r="B119" s="1" t="s">
        <v>19</v>
      </c>
      <c r="C119" s="1" t="s">
        <v>503</v>
      </c>
      <c r="D119" s="1" t="s">
        <v>937</v>
      </c>
      <c r="E119" s="1" t="s">
        <v>21</v>
      </c>
      <c r="F119" s="1" t="s">
        <v>234</v>
      </c>
      <c r="G119" s="1" t="s">
        <v>112</v>
      </c>
      <c r="H119" s="1" t="s">
        <v>785</v>
      </c>
      <c r="I119" s="1" t="s">
        <v>25</v>
      </c>
      <c r="J119">
        <v>1236677</v>
      </c>
      <c r="K119">
        <v>1233616</v>
      </c>
      <c r="L119">
        <v>172078</v>
      </c>
      <c r="M119" s="9">
        <v>0.13949073293</v>
      </c>
      <c r="N119">
        <v>528418</v>
      </c>
      <c r="O119" s="9">
        <v>0.42834885410000001</v>
      </c>
      <c r="P119">
        <v>482230</v>
      </c>
      <c r="Q119" s="9">
        <v>0.39090770547999998</v>
      </c>
      <c r="R119">
        <f>Telengana_Results_2024[[#This Row],[BJP votes]]-Telengana_Results_2024[[#This Row],[Max Votes Other Than BJP]]</f>
        <v>-46188</v>
      </c>
      <c r="S119" s="10">
        <f>Telengana_Results_2024[[#This Row],[BJP vote share]]-Telengana_Results_2024[[#This Row],[Max Vote share other than bjp ]]</f>
        <v>-3.7441148620000031E-2</v>
      </c>
      <c r="T119">
        <v>1642425</v>
      </c>
      <c r="U119" s="8">
        <v>0.75295797372999995</v>
      </c>
      <c r="V119" s="1" t="s">
        <v>68</v>
      </c>
    </row>
    <row r="120" spans="1:22" x14ac:dyDescent="0.35">
      <c r="A120">
        <v>2024</v>
      </c>
      <c r="B120" s="1" t="s">
        <v>19</v>
      </c>
      <c r="C120" s="1" t="s">
        <v>503</v>
      </c>
      <c r="D120" s="1" t="s">
        <v>938</v>
      </c>
      <c r="E120" s="1" t="s">
        <v>21</v>
      </c>
      <c r="F120" s="1" t="s">
        <v>155</v>
      </c>
      <c r="G120" s="1" t="s">
        <v>112</v>
      </c>
      <c r="H120" s="1" t="s">
        <v>939</v>
      </c>
      <c r="I120" s="1" t="s">
        <v>796</v>
      </c>
      <c r="J120">
        <v>1236677</v>
      </c>
      <c r="K120">
        <v>1233616</v>
      </c>
      <c r="L120">
        <v>8373</v>
      </c>
      <c r="M120" s="9">
        <v>6.7873633285999999E-3</v>
      </c>
      <c r="N120">
        <v>528418</v>
      </c>
      <c r="O120" s="9">
        <v>0.42834885410000001</v>
      </c>
      <c r="P120">
        <v>482230</v>
      </c>
      <c r="Q120" s="9">
        <v>0.39090770547999998</v>
      </c>
      <c r="R120">
        <f>Telengana_Results_2024[[#This Row],[BJP votes]]-Telengana_Results_2024[[#This Row],[Max Votes Other Than BJP]]</f>
        <v>-46188</v>
      </c>
      <c r="S120" s="10">
        <f>Telengana_Results_2024[[#This Row],[BJP vote share]]-Telengana_Results_2024[[#This Row],[Max Vote share other than bjp ]]</f>
        <v>-3.7441148620000031E-2</v>
      </c>
      <c r="T120">
        <v>1642425</v>
      </c>
      <c r="U120" s="8">
        <v>0.75295797372999995</v>
      </c>
      <c r="V120" s="1" t="s">
        <v>68</v>
      </c>
    </row>
    <row r="121" spans="1:22" x14ac:dyDescent="0.35">
      <c r="A121">
        <v>2024</v>
      </c>
      <c r="B121" s="1" t="s">
        <v>19</v>
      </c>
      <c r="C121" s="1" t="s">
        <v>503</v>
      </c>
      <c r="D121" s="1" t="s">
        <v>940</v>
      </c>
      <c r="E121" s="1" t="s">
        <v>35</v>
      </c>
      <c r="F121" s="1" t="s">
        <v>95</v>
      </c>
      <c r="G121" s="1" t="s">
        <v>112</v>
      </c>
      <c r="H121" s="1" t="s">
        <v>787</v>
      </c>
      <c r="I121" s="1" t="s">
        <v>788</v>
      </c>
      <c r="J121">
        <v>1236677</v>
      </c>
      <c r="K121">
        <v>1233616</v>
      </c>
      <c r="L121">
        <v>6309</v>
      </c>
      <c r="M121" s="9">
        <v>5.1142332784000002E-3</v>
      </c>
      <c r="N121">
        <v>528418</v>
      </c>
      <c r="O121" s="9">
        <v>0.42834885410000001</v>
      </c>
      <c r="P121">
        <v>482230</v>
      </c>
      <c r="Q121" s="9">
        <v>0.39090770547999998</v>
      </c>
      <c r="R121">
        <f>Telengana_Results_2024[[#This Row],[BJP votes]]-Telengana_Results_2024[[#This Row],[Max Votes Other Than BJP]]</f>
        <v>-46188</v>
      </c>
      <c r="S121" s="10">
        <f>Telengana_Results_2024[[#This Row],[BJP vote share]]-Telengana_Results_2024[[#This Row],[Max Vote share other than bjp ]]</f>
        <v>-3.7441148620000031E-2</v>
      </c>
      <c r="T121">
        <v>1642425</v>
      </c>
      <c r="U121" s="8">
        <v>0.75295797372999995</v>
      </c>
      <c r="V121" s="1" t="s">
        <v>68</v>
      </c>
    </row>
    <row r="122" spans="1:22" x14ac:dyDescent="0.35">
      <c r="A122">
        <v>2024</v>
      </c>
      <c r="B122" s="1" t="s">
        <v>19</v>
      </c>
      <c r="C122" s="1" t="s">
        <v>503</v>
      </c>
      <c r="D122" s="1" t="s">
        <v>941</v>
      </c>
      <c r="E122" s="1" t="s">
        <v>21</v>
      </c>
      <c r="F122" s="1" t="s">
        <v>95</v>
      </c>
      <c r="G122" s="1" t="s">
        <v>112</v>
      </c>
      <c r="H122" s="1" t="s">
        <v>53</v>
      </c>
      <c r="I122" s="1" t="s">
        <v>206</v>
      </c>
      <c r="J122">
        <v>1236677</v>
      </c>
      <c r="K122">
        <v>1233616</v>
      </c>
      <c r="L122">
        <v>5489</v>
      </c>
      <c r="M122" s="9">
        <v>4.4495207585E-3</v>
      </c>
      <c r="N122">
        <v>528418</v>
      </c>
      <c r="O122" s="9">
        <v>0.42834885410000001</v>
      </c>
      <c r="P122">
        <v>482230</v>
      </c>
      <c r="Q122" s="9">
        <v>0.39090770547999998</v>
      </c>
      <c r="R122">
        <f>Telengana_Results_2024[[#This Row],[BJP votes]]-Telengana_Results_2024[[#This Row],[Max Votes Other Than BJP]]</f>
        <v>-46188</v>
      </c>
      <c r="S122" s="10">
        <f>Telengana_Results_2024[[#This Row],[BJP vote share]]-Telengana_Results_2024[[#This Row],[Max Vote share other than bjp ]]</f>
        <v>-3.7441148620000031E-2</v>
      </c>
      <c r="T122">
        <v>1642425</v>
      </c>
      <c r="U122" s="8">
        <v>0.75295797372999995</v>
      </c>
      <c r="V122" s="1" t="s">
        <v>68</v>
      </c>
    </row>
    <row r="123" spans="1:22" x14ac:dyDescent="0.35">
      <c r="A123">
        <v>2024</v>
      </c>
      <c r="B123" s="1" t="s">
        <v>19</v>
      </c>
      <c r="C123" s="1" t="s">
        <v>503</v>
      </c>
      <c r="D123" s="1" t="s">
        <v>942</v>
      </c>
      <c r="E123" s="1" t="s">
        <v>21</v>
      </c>
      <c r="F123" s="1" t="s">
        <v>95</v>
      </c>
      <c r="G123" s="1" t="s">
        <v>112</v>
      </c>
      <c r="H123" s="1" t="s">
        <v>53</v>
      </c>
      <c r="I123" s="1" t="s">
        <v>46</v>
      </c>
      <c r="J123">
        <v>1236677</v>
      </c>
      <c r="K123">
        <v>1233616</v>
      </c>
      <c r="L123">
        <v>5412</v>
      </c>
      <c r="M123" s="9">
        <v>4.3871026316000001E-3</v>
      </c>
      <c r="N123">
        <v>528418</v>
      </c>
      <c r="O123" s="9">
        <v>0.42834885410000001</v>
      </c>
      <c r="P123">
        <v>482230</v>
      </c>
      <c r="Q123" s="9">
        <v>0.39090770547999998</v>
      </c>
      <c r="R123">
        <f>Telengana_Results_2024[[#This Row],[BJP votes]]-Telengana_Results_2024[[#This Row],[Max Votes Other Than BJP]]</f>
        <v>-46188</v>
      </c>
      <c r="S123" s="10">
        <f>Telengana_Results_2024[[#This Row],[BJP vote share]]-Telengana_Results_2024[[#This Row],[Max Vote share other than bjp ]]</f>
        <v>-3.7441148620000031E-2</v>
      </c>
      <c r="T123">
        <v>1642425</v>
      </c>
      <c r="U123" s="8">
        <v>0.75295797372999995</v>
      </c>
      <c r="V123" s="1" t="s">
        <v>68</v>
      </c>
    </row>
    <row r="124" spans="1:22" x14ac:dyDescent="0.35">
      <c r="A124">
        <v>2024</v>
      </c>
      <c r="B124" s="1" t="s">
        <v>19</v>
      </c>
      <c r="C124" s="1" t="s">
        <v>503</v>
      </c>
      <c r="D124" s="1" t="s">
        <v>943</v>
      </c>
      <c r="E124" s="1" t="s">
        <v>21</v>
      </c>
      <c r="F124" s="1" t="s">
        <v>200</v>
      </c>
      <c r="G124" s="1" t="s">
        <v>112</v>
      </c>
      <c r="H124" s="1" t="s">
        <v>53</v>
      </c>
      <c r="I124" s="1" t="s">
        <v>892</v>
      </c>
      <c r="J124">
        <v>1236677</v>
      </c>
      <c r="K124">
        <v>1233616</v>
      </c>
      <c r="L124">
        <v>4252</v>
      </c>
      <c r="M124" s="9">
        <v>3.4467776033999999E-3</v>
      </c>
      <c r="N124">
        <v>528418</v>
      </c>
      <c r="O124" s="9">
        <v>0.42834885410000001</v>
      </c>
      <c r="P124">
        <v>482230</v>
      </c>
      <c r="Q124" s="9">
        <v>0.39090770547999998</v>
      </c>
      <c r="R124">
        <f>Telengana_Results_2024[[#This Row],[BJP votes]]-Telengana_Results_2024[[#This Row],[Max Votes Other Than BJP]]</f>
        <v>-46188</v>
      </c>
      <c r="S124" s="10">
        <f>Telengana_Results_2024[[#This Row],[BJP vote share]]-Telengana_Results_2024[[#This Row],[Max Vote share other than bjp ]]</f>
        <v>-3.7441148620000031E-2</v>
      </c>
      <c r="T124">
        <v>1642425</v>
      </c>
      <c r="U124" s="8">
        <v>0.75295797372999995</v>
      </c>
      <c r="V124" s="1" t="s">
        <v>68</v>
      </c>
    </row>
    <row r="125" spans="1:22" x14ac:dyDescent="0.35">
      <c r="A125">
        <v>2024</v>
      </c>
      <c r="B125" s="1" t="s">
        <v>19</v>
      </c>
      <c r="C125" s="1" t="s">
        <v>503</v>
      </c>
      <c r="D125" s="1" t="s">
        <v>944</v>
      </c>
      <c r="E125" s="1" t="s">
        <v>21</v>
      </c>
      <c r="F125" s="1" t="s">
        <v>56</v>
      </c>
      <c r="G125" s="1" t="s">
        <v>112</v>
      </c>
      <c r="H125" s="1" t="s">
        <v>53</v>
      </c>
      <c r="I125" s="1" t="s">
        <v>846</v>
      </c>
      <c r="J125">
        <v>1236677</v>
      </c>
      <c r="K125">
        <v>1233616</v>
      </c>
      <c r="L125">
        <v>3514</v>
      </c>
      <c r="M125" s="9">
        <v>2.8485363355000002E-3</v>
      </c>
      <c r="N125">
        <v>528418</v>
      </c>
      <c r="O125" s="9">
        <v>0.42834885410000001</v>
      </c>
      <c r="P125">
        <v>482230</v>
      </c>
      <c r="Q125" s="9">
        <v>0.39090770547999998</v>
      </c>
      <c r="R125">
        <f>Telengana_Results_2024[[#This Row],[BJP votes]]-Telengana_Results_2024[[#This Row],[Max Votes Other Than BJP]]</f>
        <v>-46188</v>
      </c>
      <c r="S125" s="10">
        <f>Telengana_Results_2024[[#This Row],[BJP vote share]]-Telengana_Results_2024[[#This Row],[Max Vote share other than bjp ]]</f>
        <v>-3.7441148620000031E-2</v>
      </c>
      <c r="T125">
        <v>1642425</v>
      </c>
      <c r="U125" s="8">
        <v>0.75295797372999995</v>
      </c>
      <c r="V125" s="1" t="s">
        <v>68</v>
      </c>
    </row>
    <row r="126" spans="1:22" x14ac:dyDescent="0.35">
      <c r="A126">
        <v>2024</v>
      </c>
      <c r="B126" s="1" t="s">
        <v>19</v>
      </c>
      <c r="C126" s="1" t="s">
        <v>503</v>
      </c>
      <c r="D126" s="1" t="s">
        <v>64</v>
      </c>
      <c r="E126" s="1" t="s">
        <v>64</v>
      </c>
      <c r="F126" s="1" t="s">
        <v>64</v>
      </c>
      <c r="G126" s="1" t="s">
        <v>64</v>
      </c>
      <c r="H126" s="1" t="s">
        <v>64</v>
      </c>
      <c r="I126" s="1" t="s">
        <v>64</v>
      </c>
      <c r="J126">
        <v>1236677</v>
      </c>
      <c r="K126">
        <v>1233616</v>
      </c>
      <c r="L126">
        <v>2977</v>
      </c>
      <c r="M126" s="9">
        <v>2.4132306973999999E-3</v>
      </c>
      <c r="N126">
        <v>528418</v>
      </c>
      <c r="O126" s="9">
        <v>0.42834885410000001</v>
      </c>
      <c r="P126">
        <v>482230</v>
      </c>
      <c r="Q126" s="9">
        <v>0.39090770547999998</v>
      </c>
      <c r="R126">
        <f>Telengana_Results_2024[[#This Row],[BJP votes]]-Telengana_Results_2024[[#This Row],[Max Votes Other Than BJP]]</f>
        <v>-46188</v>
      </c>
      <c r="S126" s="10">
        <f>Telengana_Results_2024[[#This Row],[BJP vote share]]-Telengana_Results_2024[[#This Row],[Max Vote share other than bjp ]]</f>
        <v>-3.7441148620000031E-2</v>
      </c>
      <c r="T126">
        <v>1642425</v>
      </c>
      <c r="U126" s="8">
        <v>0.75295797372999995</v>
      </c>
      <c r="V126" s="1" t="s">
        <v>68</v>
      </c>
    </row>
    <row r="127" spans="1:22" x14ac:dyDescent="0.35">
      <c r="A127">
        <v>2024</v>
      </c>
      <c r="B127" s="1" t="s">
        <v>19</v>
      </c>
      <c r="C127" s="1" t="s">
        <v>503</v>
      </c>
      <c r="D127" s="1" t="s">
        <v>945</v>
      </c>
      <c r="E127" s="1" t="s">
        <v>21</v>
      </c>
      <c r="F127" s="1" t="s">
        <v>44</v>
      </c>
      <c r="G127" s="1" t="s">
        <v>112</v>
      </c>
      <c r="H127" s="1" t="s">
        <v>53</v>
      </c>
      <c r="I127" s="1" t="s">
        <v>890</v>
      </c>
      <c r="J127">
        <v>1236677</v>
      </c>
      <c r="K127">
        <v>1233616</v>
      </c>
      <c r="L127">
        <v>2876</v>
      </c>
      <c r="M127" s="9">
        <v>2.3313575699000001E-3</v>
      </c>
      <c r="N127">
        <v>528418</v>
      </c>
      <c r="O127" s="9">
        <v>0.42834885410000001</v>
      </c>
      <c r="P127">
        <v>482230</v>
      </c>
      <c r="Q127" s="9">
        <v>0.39090770547999998</v>
      </c>
      <c r="R127">
        <f>Telengana_Results_2024[[#This Row],[BJP votes]]-Telengana_Results_2024[[#This Row],[Max Votes Other Than BJP]]</f>
        <v>-46188</v>
      </c>
      <c r="S127" s="10">
        <f>Telengana_Results_2024[[#This Row],[BJP vote share]]-Telengana_Results_2024[[#This Row],[Max Vote share other than bjp ]]</f>
        <v>-3.7441148620000031E-2</v>
      </c>
      <c r="T127">
        <v>1642425</v>
      </c>
      <c r="U127" s="8">
        <v>0.75295797372999995</v>
      </c>
      <c r="V127" s="1" t="s">
        <v>68</v>
      </c>
    </row>
    <row r="128" spans="1:22" x14ac:dyDescent="0.35">
      <c r="A128">
        <v>2024</v>
      </c>
      <c r="B128" s="1" t="s">
        <v>19</v>
      </c>
      <c r="C128" s="1" t="s">
        <v>503</v>
      </c>
      <c r="D128" s="1" t="s">
        <v>946</v>
      </c>
      <c r="E128" s="1" t="s">
        <v>21</v>
      </c>
      <c r="F128" s="1" t="s">
        <v>165</v>
      </c>
      <c r="G128" s="1" t="s">
        <v>67</v>
      </c>
      <c r="H128" s="1" t="s">
        <v>53</v>
      </c>
      <c r="I128" s="1" t="s">
        <v>54</v>
      </c>
      <c r="J128">
        <v>1236677</v>
      </c>
      <c r="K128">
        <v>1233616</v>
      </c>
      <c r="L128">
        <v>2479</v>
      </c>
      <c r="M128" s="9">
        <v>2.0095394352999999E-3</v>
      </c>
      <c r="N128">
        <v>528418</v>
      </c>
      <c r="O128" s="9">
        <v>0.42834885410000001</v>
      </c>
      <c r="P128">
        <v>482230</v>
      </c>
      <c r="Q128" s="9">
        <v>0.39090770547999998</v>
      </c>
      <c r="R128">
        <f>Telengana_Results_2024[[#This Row],[BJP votes]]-Telengana_Results_2024[[#This Row],[Max Votes Other Than BJP]]</f>
        <v>-46188</v>
      </c>
      <c r="S128" s="10">
        <f>Telengana_Results_2024[[#This Row],[BJP vote share]]-Telengana_Results_2024[[#This Row],[Max Vote share other than bjp ]]</f>
        <v>-3.7441148620000031E-2</v>
      </c>
      <c r="T128">
        <v>1642425</v>
      </c>
      <c r="U128" s="8">
        <v>0.75295797372999995</v>
      </c>
      <c r="V128" s="1" t="s">
        <v>68</v>
      </c>
    </row>
    <row r="129" spans="1:22" x14ac:dyDescent="0.35">
      <c r="A129">
        <v>2024</v>
      </c>
      <c r="B129" s="1" t="s">
        <v>19</v>
      </c>
      <c r="C129" s="1" t="s">
        <v>503</v>
      </c>
      <c r="D129" s="1" t="s">
        <v>947</v>
      </c>
      <c r="E129" s="1" t="s">
        <v>21</v>
      </c>
      <c r="F129" s="1" t="s">
        <v>106</v>
      </c>
      <c r="G129" s="1" t="s">
        <v>112</v>
      </c>
      <c r="H129" s="1" t="s">
        <v>53</v>
      </c>
      <c r="I129" s="1" t="s">
        <v>948</v>
      </c>
      <c r="J129">
        <v>1236677</v>
      </c>
      <c r="K129">
        <v>1233616</v>
      </c>
      <c r="L129">
        <v>2384</v>
      </c>
      <c r="M129" s="9">
        <v>1.932530058E-3</v>
      </c>
      <c r="N129">
        <v>528418</v>
      </c>
      <c r="O129" s="9">
        <v>0.42834885410000001</v>
      </c>
      <c r="P129">
        <v>482230</v>
      </c>
      <c r="Q129" s="9">
        <v>0.39090770547999998</v>
      </c>
      <c r="R129">
        <f>Telengana_Results_2024[[#This Row],[BJP votes]]-Telengana_Results_2024[[#This Row],[Max Votes Other Than BJP]]</f>
        <v>-46188</v>
      </c>
      <c r="S129" s="10">
        <f>Telengana_Results_2024[[#This Row],[BJP vote share]]-Telengana_Results_2024[[#This Row],[Max Vote share other than bjp ]]</f>
        <v>-3.7441148620000031E-2</v>
      </c>
      <c r="T129">
        <v>1642425</v>
      </c>
      <c r="U129" s="8">
        <v>0.75295797372999995</v>
      </c>
      <c r="V129" s="1" t="s">
        <v>68</v>
      </c>
    </row>
    <row r="130" spans="1:22" x14ac:dyDescent="0.35">
      <c r="A130">
        <v>2024</v>
      </c>
      <c r="B130" s="1" t="s">
        <v>19</v>
      </c>
      <c r="C130" s="1" t="s">
        <v>503</v>
      </c>
      <c r="D130" s="1" t="s">
        <v>949</v>
      </c>
      <c r="E130" s="1" t="s">
        <v>21</v>
      </c>
      <c r="F130" s="1" t="s">
        <v>71</v>
      </c>
      <c r="G130" s="1" t="s">
        <v>23</v>
      </c>
      <c r="H130" s="1" t="s">
        <v>53</v>
      </c>
      <c r="I130" s="1" t="s">
        <v>57</v>
      </c>
      <c r="J130">
        <v>1236677</v>
      </c>
      <c r="K130">
        <v>1233616</v>
      </c>
      <c r="L130">
        <v>2268</v>
      </c>
      <c r="M130" s="9">
        <v>1.8384975552E-3</v>
      </c>
      <c r="N130">
        <v>528418</v>
      </c>
      <c r="O130" s="9">
        <v>0.42834885410000001</v>
      </c>
      <c r="P130">
        <v>482230</v>
      </c>
      <c r="Q130" s="9">
        <v>0.39090770547999998</v>
      </c>
      <c r="R130">
        <f>Telengana_Results_2024[[#This Row],[BJP votes]]-Telengana_Results_2024[[#This Row],[Max Votes Other Than BJP]]</f>
        <v>-46188</v>
      </c>
      <c r="S130" s="10">
        <f>Telengana_Results_2024[[#This Row],[BJP vote share]]-Telengana_Results_2024[[#This Row],[Max Vote share other than bjp ]]</f>
        <v>-3.7441148620000031E-2</v>
      </c>
      <c r="T130">
        <v>1642425</v>
      </c>
      <c r="U130" s="8">
        <v>0.75295797372999995</v>
      </c>
      <c r="V130" s="1" t="s">
        <v>68</v>
      </c>
    </row>
    <row r="131" spans="1:22" x14ac:dyDescent="0.35">
      <c r="A131">
        <v>2024</v>
      </c>
      <c r="B131" s="1" t="s">
        <v>19</v>
      </c>
      <c r="C131" s="1" t="s">
        <v>503</v>
      </c>
      <c r="D131" s="1" t="s">
        <v>950</v>
      </c>
      <c r="E131" s="1" t="s">
        <v>21</v>
      </c>
      <c r="F131" s="1" t="s">
        <v>117</v>
      </c>
      <c r="G131" s="1" t="s">
        <v>112</v>
      </c>
      <c r="H131" s="1" t="s">
        <v>613</v>
      </c>
      <c r="I131" s="1" t="s">
        <v>614</v>
      </c>
      <c r="J131">
        <v>1236677</v>
      </c>
      <c r="K131">
        <v>1233616</v>
      </c>
      <c r="L131">
        <v>1769</v>
      </c>
      <c r="M131" s="9">
        <v>1.4339956679999999E-3</v>
      </c>
      <c r="N131">
        <v>528418</v>
      </c>
      <c r="O131" s="9">
        <v>0.42834885410000001</v>
      </c>
      <c r="P131">
        <v>482230</v>
      </c>
      <c r="Q131" s="9">
        <v>0.39090770547999998</v>
      </c>
      <c r="R131">
        <f>Telengana_Results_2024[[#This Row],[BJP votes]]-Telengana_Results_2024[[#This Row],[Max Votes Other Than BJP]]</f>
        <v>-46188</v>
      </c>
      <c r="S131" s="10">
        <f>Telengana_Results_2024[[#This Row],[BJP vote share]]-Telengana_Results_2024[[#This Row],[Max Vote share other than bjp ]]</f>
        <v>-3.7441148620000031E-2</v>
      </c>
      <c r="T131">
        <v>1642425</v>
      </c>
      <c r="U131" s="8">
        <v>0.75295797372999995</v>
      </c>
      <c r="V131" s="1" t="s">
        <v>68</v>
      </c>
    </row>
    <row r="132" spans="1:22" x14ac:dyDescent="0.35">
      <c r="A132">
        <v>2024</v>
      </c>
      <c r="B132" s="1" t="s">
        <v>19</v>
      </c>
      <c r="C132" s="1" t="s">
        <v>503</v>
      </c>
      <c r="D132" s="1" t="s">
        <v>951</v>
      </c>
      <c r="E132" s="1" t="s">
        <v>21</v>
      </c>
      <c r="F132" s="1" t="s">
        <v>28</v>
      </c>
      <c r="G132" s="1" t="s">
        <v>112</v>
      </c>
      <c r="H132" s="1" t="s">
        <v>798</v>
      </c>
      <c r="I132" s="1" t="s">
        <v>749</v>
      </c>
      <c r="J132">
        <v>1236677</v>
      </c>
      <c r="K132">
        <v>1233616</v>
      </c>
      <c r="L132">
        <v>1655</v>
      </c>
      <c r="M132" s="9">
        <v>1.3415844152000001E-3</v>
      </c>
      <c r="N132">
        <v>528418</v>
      </c>
      <c r="O132" s="9">
        <v>0.42834885410000001</v>
      </c>
      <c r="P132">
        <v>482230</v>
      </c>
      <c r="Q132" s="9">
        <v>0.39090770547999998</v>
      </c>
      <c r="R132">
        <f>Telengana_Results_2024[[#This Row],[BJP votes]]-Telengana_Results_2024[[#This Row],[Max Votes Other Than BJP]]</f>
        <v>-46188</v>
      </c>
      <c r="S132" s="10">
        <f>Telengana_Results_2024[[#This Row],[BJP vote share]]-Telengana_Results_2024[[#This Row],[Max Vote share other than bjp ]]</f>
        <v>-3.7441148620000031E-2</v>
      </c>
      <c r="T132">
        <v>1642425</v>
      </c>
      <c r="U132" s="8">
        <v>0.75295797372999995</v>
      </c>
      <c r="V132" s="1" t="s">
        <v>68</v>
      </c>
    </row>
    <row r="133" spans="1:22" x14ac:dyDescent="0.35">
      <c r="A133">
        <v>2024</v>
      </c>
      <c r="B133" s="1" t="s">
        <v>19</v>
      </c>
      <c r="C133" s="1" t="s">
        <v>503</v>
      </c>
      <c r="D133" s="1" t="s">
        <v>952</v>
      </c>
      <c r="E133" s="1" t="s">
        <v>21</v>
      </c>
      <c r="F133" s="1" t="s">
        <v>56</v>
      </c>
      <c r="G133" s="1" t="s">
        <v>112</v>
      </c>
      <c r="H133" s="1" t="s">
        <v>53</v>
      </c>
      <c r="I133" s="1" t="s">
        <v>214</v>
      </c>
      <c r="J133">
        <v>1236677</v>
      </c>
      <c r="K133">
        <v>1233616</v>
      </c>
      <c r="L133">
        <v>1568</v>
      </c>
      <c r="M133" s="9">
        <v>1.2710600381E-3</v>
      </c>
      <c r="N133">
        <v>528418</v>
      </c>
      <c r="O133" s="9">
        <v>0.42834885410000001</v>
      </c>
      <c r="P133">
        <v>482230</v>
      </c>
      <c r="Q133" s="9">
        <v>0.39090770547999998</v>
      </c>
      <c r="R133">
        <f>Telengana_Results_2024[[#This Row],[BJP votes]]-Telengana_Results_2024[[#This Row],[Max Votes Other Than BJP]]</f>
        <v>-46188</v>
      </c>
      <c r="S133" s="10">
        <f>Telengana_Results_2024[[#This Row],[BJP vote share]]-Telengana_Results_2024[[#This Row],[Max Vote share other than bjp ]]</f>
        <v>-3.7441148620000031E-2</v>
      </c>
      <c r="T133">
        <v>1642425</v>
      </c>
      <c r="U133" s="8">
        <v>0.75295797372999995</v>
      </c>
      <c r="V133" s="1" t="s">
        <v>68</v>
      </c>
    </row>
    <row r="134" spans="1:22" x14ac:dyDescent="0.35">
      <c r="A134">
        <v>2024</v>
      </c>
      <c r="B134" s="1" t="s">
        <v>19</v>
      </c>
      <c r="C134" s="1" t="s">
        <v>503</v>
      </c>
      <c r="D134" s="1" t="s">
        <v>953</v>
      </c>
      <c r="E134" s="1" t="s">
        <v>21</v>
      </c>
      <c r="F134" s="1" t="s">
        <v>703</v>
      </c>
      <c r="G134" s="1" t="s">
        <v>112</v>
      </c>
      <c r="H134" s="1" t="s">
        <v>77</v>
      </c>
      <c r="I134" s="1" t="s">
        <v>139</v>
      </c>
      <c r="J134">
        <v>1236677</v>
      </c>
      <c r="K134">
        <v>1233616</v>
      </c>
      <c r="L134">
        <v>1102</v>
      </c>
      <c r="M134" s="9">
        <v>8.9330877679999997E-4</v>
      </c>
      <c r="N134">
        <v>528418</v>
      </c>
      <c r="O134" s="9">
        <v>0.42834885410000001</v>
      </c>
      <c r="P134">
        <v>482230</v>
      </c>
      <c r="Q134" s="9">
        <v>0.39090770547999998</v>
      </c>
      <c r="R134">
        <f>Telengana_Results_2024[[#This Row],[BJP votes]]-Telengana_Results_2024[[#This Row],[Max Votes Other Than BJP]]</f>
        <v>-46188</v>
      </c>
      <c r="S134" s="10">
        <f>Telengana_Results_2024[[#This Row],[BJP vote share]]-Telengana_Results_2024[[#This Row],[Max Vote share other than bjp ]]</f>
        <v>-3.7441148620000031E-2</v>
      </c>
      <c r="T134">
        <v>1642425</v>
      </c>
      <c r="U134" s="8">
        <v>0.75295797372999995</v>
      </c>
      <c r="V134" s="1" t="s">
        <v>68</v>
      </c>
    </row>
    <row r="135" spans="1:22" x14ac:dyDescent="0.35">
      <c r="A135">
        <v>2024</v>
      </c>
      <c r="B135" s="1" t="s">
        <v>19</v>
      </c>
      <c r="C135" s="1" t="s">
        <v>503</v>
      </c>
      <c r="D135" s="1" t="s">
        <v>954</v>
      </c>
      <c r="E135" s="1" t="s">
        <v>21</v>
      </c>
      <c r="F135" s="1" t="s">
        <v>75</v>
      </c>
      <c r="G135" s="1" t="s">
        <v>67</v>
      </c>
      <c r="H135" s="1" t="s">
        <v>53</v>
      </c>
      <c r="I135" s="1" t="s">
        <v>791</v>
      </c>
      <c r="J135">
        <v>1236677</v>
      </c>
      <c r="K135">
        <v>1233616</v>
      </c>
      <c r="L135">
        <v>837</v>
      </c>
      <c r="M135" s="9">
        <v>6.7849314535E-4</v>
      </c>
      <c r="N135">
        <v>528418</v>
      </c>
      <c r="O135" s="9">
        <v>0.42834885410000001</v>
      </c>
      <c r="P135">
        <v>482230</v>
      </c>
      <c r="Q135" s="9">
        <v>0.39090770547999998</v>
      </c>
      <c r="R135">
        <f>Telengana_Results_2024[[#This Row],[BJP votes]]-Telengana_Results_2024[[#This Row],[Max Votes Other Than BJP]]</f>
        <v>-46188</v>
      </c>
      <c r="S135" s="10">
        <f>Telengana_Results_2024[[#This Row],[BJP vote share]]-Telengana_Results_2024[[#This Row],[Max Vote share other than bjp ]]</f>
        <v>-3.7441148620000031E-2</v>
      </c>
      <c r="T135">
        <v>1642425</v>
      </c>
      <c r="U135" s="8">
        <v>0.75295797372999995</v>
      </c>
      <c r="V135" s="1" t="s">
        <v>68</v>
      </c>
    </row>
    <row r="136" spans="1:22" x14ac:dyDescent="0.35">
      <c r="A136">
        <v>2024</v>
      </c>
      <c r="B136" s="1" t="s">
        <v>19</v>
      </c>
      <c r="C136" s="1" t="s">
        <v>503</v>
      </c>
      <c r="D136" s="1" t="s">
        <v>955</v>
      </c>
      <c r="E136" s="1" t="s">
        <v>21</v>
      </c>
      <c r="F136" s="1" t="s">
        <v>44</v>
      </c>
      <c r="G136" s="1" t="s">
        <v>67</v>
      </c>
      <c r="H136" s="1" t="s">
        <v>84</v>
      </c>
      <c r="I136" s="1" t="s">
        <v>85</v>
      </c>
      <c r="J136">
        <v>1236677</v>
      </c>
      <c r="K136">
        <v>1233616</v>
      </c>
      <c r="L136">
        <v>603</v>
      </c>
      <c r="M136" s="9">
        <v>4.8880688966000002E-4</v>
      </c>
      <c r="N136">
        <v>528418</v>
      </c>
      <c r="O136" s="9">
        <v>0.42834885410000001</v>
      </c>
      <c r="P136">
        <v>482230</v>
      </c>
      <c r="Q136" s="9">
        <v>0.39090770547999998</v>
      </c>
      <c r="R136">
        <f>Telengana_Results_2024[[#This Row],[BJP votes]]-Telengana_Results_2024[[#This Row],[Max Votes Other Than BJP]]</f>
        <v>-46188</v>
      </c>
      <c r="S136" s="10">
        <f>Telengana_Results_2024[[#This Row],[BJP vote share]]-Telengana_Results_2024[[#This Row],[Max Vote share other than bjp ]]</f>
        <v>-3.7441148620000031E-2</v>
      </c>
      <c r="T136">
        <v>1642425</v>
      </c>
      <c r="U136" s="8">
        <v>0.75295797372999995</v>
      </c>
      <c r="V136" s="1" t="s">
        <v>68</v>
      </c>
    </row>
    <row r="137" spans="1:22" x14ac:dyDescent="0.35">
      <c r="A137">
        <v>2024</v>
      </c>
      <c r="B137" s="1" t="s">
        <v>19</v>
      </c>
      <c r="C137" s="1" t="s">
        <v>518</v>
      </c>
      <c r="D137" s="1" t="s">
        <v>956</v>
      </c>
      <c r="E137" s="1" t="s">
        <v>21</v>
      </c>
      <c r="F137" s="1" t="s">
        <v>115</v>
      </c>
      <c r="G137" s="1" t="s">
        <v>112</v>
      </c>
      <c r="H137" s="1" t="s">
        <v>32</v>
      </c>
      <c r="I137" s="1" t="s">
        <v>33</v>
      </c>
      <c r="J137">
        <v>1387211</v>
      </c>
      <c r="K137">
        <v>1381622</v>
      </c>
      <c r="L137">
        <v>471217</v>
      </c>
      <c r="M137" s="9">
        <v>0.34106072428</v>
      </c>
      <c r="N137">
        <v>432078</v>
      </c>
      <c r="O137" s="9">
        <v>0.31273242609000002</v>
      </c>
      <c r="P137">
        <v>471217</v>
      </c>
      <c r="Q137" s="9">
        <v>0.34106072428</v>
      </c>
      <c r="R137">
        <f>Telengana_Results_2024[[#This Row],[BJP votes]]-Telengana_Results_2024[[#This Row],[Max Votes Other Than BJP]]</f>
        <v>39139</v>
      </c>
      <c r="S137" s="10">
        <f>Telengana_Results_2024[[#This Row],[BJP vote share]]-Telengana_Results_2024[[#This Row],[Max Vote share other than bjp ]]</f>
        <v>2.832829818999999E-2</v>
      </c>
      <c r="T137">
        <v>1828717</v>
      </c>
      <c r="U137" s="8">
        <v>0.75857062629000005</v>
      </c>
      <c r="V137" s="1" t="s">
        <v>26</v>
      </c>
    </row>
    <row r="138" spans="1:22" x14ac:dyDescent="0.35">
      <c r="A138">
        <v>2024</v>
      </c>
      <c r="B138" s="1" t="s">
        <v>19</v>
      </c>
      <c r="C138" s="1" t="s">
        <v>518</v>
      </c>
      <c r="D138" s="1" t="s">
        <v>957</v>
      </c>
      <c r="E138" s="1" t="s">
        <v>21</v>
      </c>
      <c r="F138" s="1" t="s">
        <v>95</v>
      </c>
      <c r="G138" s="1" t="s">
        <v>112</v>
      </c>
      <c r="H138" s="1" t="s">
        <v>29</v>
      </c>
      <c r="I138" s="1" t="s">
        <v>30</v>
      </c>
      <c r="J138">
        <v>1387211</v>
      </c>
      <c r="K138">
        <v>1381622</v>
      </c>
      <c r="L138">
        <v>432078</v>
      </c>
      <c r="M138" s="9">
        <v>0.31273242609000002</v>
      </c>
      <c r="N138">
        <v>432078</v>
      </c>
      <c r="O138" s="9">
        <v>0.31273242609000002</v>
      </c>
      <c r="P138">
        <v>471217</v>
      </c>
      <c r="Q138" s="9">
        <v>0.34106072428</v>
      </c>
      <c r="R138">
        <f>Telengana_Results_2024[[#This Row],[BJP votes]]-Telengana_Results_2024[[#This Row],[Max Votes Other Than BJP]]</f>
        <v>39139</v>
      </c>
      <c r="S138" s="10">
        <f>Telengana_Results_2024[[#This Row],[BJP vote share]]-Telengana_Results_2024[[#This Row],[Max Vote share other than bjp ]]</f>
        <v>2.832829818999999E-2</v>
      </c>
      <c r="T138">
        <v>1828717</v>
      </c>
      <c r="U138" s="8">
        <v>0.75857062629000005</v>
      </c>
      <c r="V138" s="1" t="s">
        <v>26</v>
      </c>
    </row>
    <row r="139" spans="1:22" x14ac:dyDescent="0.35">
      <c r="A139">
        <v>2024</v>
      </c>
      <c r="B139" s="1" t="s">
        <v>19</v>
      </c>
      <c r="C139" s="1" t="s">
        <v>518</v>
      </c>
      <c r="D139" s="1" t="s">
        <v>958</v>
      </c>
      <c r="E139" s="1" t="s">
        <v>21</v>
      </c>
      <c r="F139" s="1" t="s">
        <v>104</v>
      </c>
      <c r="G139" s="1" t="s">
        <v>112</v>
      </c>
      <c r="H139" s="1" t="s">
        <v>785</v>
      </c>
      <c r="I139" s="1" t="s">
        <v>25</v>
      </c>
      <c r="J139">
        <v>1387211</v>
      </c>
      <c r="K139">
        <v>1381622</v>
      </c>
      <c r="L139">
        <v>396790</v>
      </c>
      <c r="M139" s="9">
        <v>0.28719143151999998</v>
      </c>
      <c r="N139">
        <v>432078</v>
      </c>
      <c r="O139" s="9">
        <v>0.31273242609000002</v>
      </c>
      <c r="P139">
        <v>471217</v>
      </c>
      <c r="Q139" s="9">
        <v>0.34106072428</v>
      </c>
      <c r="R139">
        <f>Telengana_Results_2024[[#This Row],[BJP votes]]-Telengana_Results_2024[[#This Row],[Max Votes Other Than BJP]]</f>
        <v>39139</v>
      </c>
      <c r="S139" s="10">
        <f>Telengana_Results_2024[[#This Row],[BJP vote share]]-Telengana_Results_2024[[#This Row],[Max Vote share other than bjp ]]</f>
        <v>2.832829818999999E-2</v>
      </c>
      <c r="T139">
        <v>1828717</v>
      </c>
      <c r="U139" s="8">
        <v>0.75857062629000005</v>
      </c>
      <c r="V139" s="1" t="s">
        <v>26</v>
      </c>
    </row>
    <row r="140" spans="1:22" x14ac:dyDescent="0.35">
      <c r="A140">
        <v>2024</v>
      </c>
      <c r="B140" s="1" t="s">
        <v>19</v>
      </c>
      <c r="C140" s="1" t="s">
        <v>518</v>
      </c>
      <c r="D140" s="1" t="s">
        <v>959</v>
      </c>
      <c r="E140" s="1" t="s">
        <v>21</v>
      </c>
      <c r="F140" s="1" t="s">
        <v>71</v>
      </c>
      <c r="G140" s="1" t="s">
        <v>112</v>
      </c>
      <c r="H140" s="1" t="s">
        <v>787</v>
      </c>
      <c r="I140" s="1" t="s">
        <v>788</v>
      </c>
      <c r="J140">
        <v>1387211</v>
      </c>
      <c r="K140">
        <v>1381622</v>
      </c>
      <c r="L140">
        <v>17216</v>
      </c>
      <c r="M140" s="9">
        <v>1.2460716461999999E-2</v>
      </c>
      <c r="N140">
        <v>432078</v>
      </c>
      <c r="O140" s="9">
        <v>0.31273242609000002</v>
      </c>
      <c r="P140">
        <v>471217</v>
      </c>
      <c r="Q140" s="9">
        <v>0.34106072428</v>
      </c>
      <c r="R140">
        <f>Telengana_Results_2024[[#This Row],[BJP votes]]-Telengana_Results_2024[[#This Row],[Max Votes Other Than BJP]]</f>
        <v>39139</v>
      </c>
      <c r="S140" s="10">
        <f>Telengana_Results_2024[[#This Row],[BJP vote share]]-Telengana_Results_2024[[#This Row],[Max Vote share other than bjp ]]</f>
        <v>2.832829818999999E-2</v>
      </c>
      <c r="T140">
        <v>1828717</v>
      </c>
      <c r="U140" s="8">
        <v>0.75857062629000005</v>
      </c>
      <c r="V140" s="1" t="s">
        <v>26</v>
      </c>
    </row>
    <row r="141" spans="1:22" x14ac:dyDescent="0.35">
      <c r="A141">
        <v>2024</v>
      </c>
      <c r="B141" s="1" t="s">
        <v>19</v>
      </c>
      <c r="C141" s="1" t="s">
        <v>518</v>
      </c>
      <c r="D141" s="1" t="s">
        <v>960</v>
      </c>
      <c r="E141" s="1" t="s">
        <v>21</v>
      </c>
      <c r="F141" s="1" t="s">
        <v>71</v>
      </c>
      <c r="G141" s="1" t="s">
        <v>112</v>
      </c>
      <c r="H141" s="1" t="s">
        <v>961</v>
      </c>
      <c r="I141" s="1" t="s">
        <v>184</v>
      </c>
      <c r="J141">
        <v>1387211</v>
      </c>
      <c r="K141">
        <v>1381622</v>
      </c>
      <c r="L141">
        <v>11060</v>
      </c>
      <c r="M141" s="9">
        <v>8.0050838797E-3</v>
      </c>
      <c r="N141">
        <v>432078</v>
      </c>
      <c r="O141" s="9">
        <v>0.31273242609000002</v>
      </c>
      <c r="P141">
        <v>471217</v>
      </c>
      <c r="Q141" s="9">
        <v>0.34106072428</v>
      </c>
      <c r="R141">
        <f>Telengana_Results_2024[[#This Row],[BJP votes]]-Telengana_Results_2024[[#This Row],[Max Votes Other Than BJP]]</f>
        <v>39139</v>
      </c>
      <c r="S141" s="10">
        <f>Telengana_Results_2024[[#This Row],[BJP vote share]]-Telengana_Results_2024[[#This Row],[Max Vote share other than bjp ]]</f>
        <v>2.832829818999999E-2</v>
      </c>
      <c r="T141">
        <v>1828717</v>
      </c>
      <c r="U141" s="8">
        <v>0.75857062629000005</v>
      </c>
      <c r="V141" s="1" t="s">
        <v>26</v>
      </c>
    </row>
    <row r="142" spans="1:22" x14ac:dyDescent="0.35">
      <c r="A142">
        <v>2024</v>
      </c>
      <c r="B142" s="1" t="s">
        <v>19</v>
      </c>
      <c r="C142" s="1" t="s">
        <v>518</v>
      </c>
      <c r="D142" s="1" t="s">
        <v>962</v>
      </c>
      <c r="E142" s="1" t="s">
        <v>21</v>
      </c>
      <c r="F142" s="1" t="s">
        <v>160</v>
      </c>
      <c r="G142" s="1" t="s">
        <v>67</v>
      </c>
      <c r="H142" s="1" t="s">
        <v>72</v>
      </c>
      <c r="I142" s="1" t="s">
        <v>73</v>
      </c>
      <c r="J142">
        <v>1387211</v>
      </c>
      <c r="K142">
        <v>1381622</v>
      </c>
      <c r="L142">
        <v>7463</v>
      </c>
      <c r="M142" s="9">
        <v>5.4016221514000002E-3</v>
      </c>
      <c r="N142">
        <v>432078</v>
      </c>
      <c r="O142" s="9">
        <v>0.31273242609000002</v>
      </c>
      <c r="P142">
        <v>471217</v>
      </c>
      <c r="Q142" s="9">
        <v>0.34106072428</v>
      </c>
      <c r="R142">
        <f>Telengana_Results_2024[[#This Row],[BJP votes]]-Telengana_Results_2024[[#This Row],[Max Votes Other Than BJP]]</f>
        <v>39139</v>
      </c>
      <c r="S142" s="10">
        <f>Telengana_Results_2024[[#This Row],[BJP vote share]]-Telengana_Results_2024[[#This Row],[Max Vote share other than bjp ]]</f>
        <v>2.832829818999999E-2</v>
      </c>
      <c r="T142">
        <v>1828717</v>
      </c>
      <c r="U142" s="8">
        <v>0.75857062629000005</v>
      </c>
      <c r="V142" s="1" t="s">
        <v>26</v>
      </c>
    </row>
    <row r="143" spans="1:22" x14ac:dyDescent="0.35">
      <c r="A143">
        <v>2024</v>
      </c>
      <c r="B143" s="1" t="s">
        <v>19</v>
      </c>
      <c r="C143" s="1" t="s">
        <v>518</v>
      </c>
      <c r="D143" s="1" t="s">
        <v>963</v>
      </c>
      <c r="E143" s="1" t="s">
        <v>21</v>
      </c>
      <c r="F143" s="1" t="s">
        <v>155</v>
      </c>
      <c r="G143" s="1" t="s">
        <v>112</v>
      </c>
      <c r="H143" s="1" t="s">
        <v>53</v>
      </c>
      <c r="I143" s="1" t="s">
        <v>796</v>
      </c>
      <c r="J143">
        <v>1387211</v>
      </c>
      <c r="K143">
        <v>1381622</v>
      </c>
      <c r="L143">
        <v>5166</v>
      </c>
      <c r="M143" s="9">
        <v>3.7390834830000001E-3</v>
      </c>
      <c r="N143">
        <v>432078</v>
      </c>
      <c r="O143" s="9">
        <v>0.31273242609000002</v>
      </c>
      <c r="P143">
        <v>471217</v>
      </c>
      <c r="Q143" s="9">
        <v>0.34106072428</v>
      </c>
      <c r="R143">
        <f>Telengana_Results_2024[[#This Row],[BJP votes]]-Telengana_Results_2024[[#This Row],[Max Votes Other Than BJP]]</f>
        <v>39139</v>
      </c>
      <c r="S143" s="10">
        <f>Telengana_Results_2024[[#This Row],[BJP vote share]]-Telengana_Results_2024[[#This Row],[Max Vote share other than bjp ]]</f>
        <v>2.832829818999999E-2</v>
      </c>
      <c r="T143">
        <v>1828717</v>
      </c>
      <c r="U143" s="8">
        <v>0.75857062629000005</v>
      </c>
      <c r="V143" s="1" t="s">
        <v>26</v>
      </c>
    </row>
    <row r="144" spans="1:22" x14ac:dyDescent="0.35">
      <c r="A144">
        <v>2024</v>
      </c>
      <c r="B144" s="1" t="s">
        <v>19</v>
      </c>
      <c r="C144" s="1" t="s">
        <v>518</v>
      </c>
      <c r="D144" s="1" t="s">
        <v>964</v>
      </c>
      <c r="E144" s="1" t="s">
        <v>21</v>
      </c>
      <c r="F144" s="1" t="s">
        <v>165</v>
      </c>
      <c r="G144" s="1" t="s">
        <v>67</v>
      </c>
      <c r="H144" s="1" t="s">
        <v>53</v>
      </c>
      <c r="I144" s="1" t="s">
        <v>250</v>
      </c>
      <c r="J144">
        <v>1387211</v>
      </c>
      <c r="K144">
        <v>1381622</v>
      </c>
      <c r="L144">
        <v>5116</v>
      </c>
      <c r="M144" s="9">
        <v>3.7028941346E-3</v>
      </c>
      <c r="N144">
        <v>432078</v>
      </c>
      <c r="O144" s="9">
        <v>0.31273242609000002</v>
      </c>
      <c r="P144">
        <v>471217</v>
      </c>
      <c r="Q144" s="9">
        <v>0.34106072428</v>
      </c>
      <c r="R144">
        <f>Telengana_Results_2024[[#This Row],[BJP votes]]-Telengana_Results_2024[[#This Row],[Max Votes Other Than BJP]]</f>
        <v>39139</v>
      </c>
      <c r="S144" s="10">
        <f>Telengana_Results_2024[[#This Row],[BJP vote share]]-Telengana_Results_2024[[#This Row],[Max Vote share other than bjp ]]</f>
        <v>2.832829818999999E-2</v>
      </c>
      <c r="T144">
        <v>1828717</v>
      </c>
      <c r="U144" s="8">
        <v>0.75857062629000005</v>
      </c>
      <c r="V144" s="1" t="s">
        <v>26</v>
      </c>
    </row>
    <row r="145" spans="1:22" x14ac:dyDescent="0.35">
      <c r="A145">
        <v>2024</v>
      </c>
      <c r="B145" s="1" t="s">
        <v>19</v>
      </c>
      <c r="C145" s="1" t="s">
        <v>518</v>
      </c>
      <c r="D145" s="1" t="s">
        <v>64</v>
      </c>
      <c r="E145" s="1" t="s">
        <v>64</v>
      </c>
      <c r="F145" s="1" t="s">
        <v>64</v>
      </c>
      <c r="G145" s="1" t="s">
        <v>64</v>
      </c>
      <c r="H145" s="1" t="s">
        <v>64</v>
      </c>
      <c r="I145" s="1" t="s">
        <v>64</v>
      </c>
      <c r="J145">
        <v>1387211</v>
      </c>
      <c r="K145">
        <v>1381622</v>
      </c>
      <c r="L145">
        <v>4617</v>
      </c>
      <c r="M145" s="9">
        <v>3.3417244369E-3</v>
      </c>
      <c r="N145">
        <v>432078</v>
      </c>
      <c r="O145" s="9">
        <v>0.31273242609000002</v>
      </c>
      <c r="P145">
        <v>471217</v>
      </c>
      <c r="Q145" s="9">
        <v>0.34106072428</v>
      </c>
      <c r="R145">
        <f>Telengana_Results_2024[[#This Row],[BJP votes]]-Telengana_Results_2024[[#This Row],[Max Votes Other Than BJP]]</f>
        <v>39139</v>
      </c>
      <c r="S145" s="10">
        <f>Telengana_Results_2024[[#This Row],[BJP vote share]]-Telengana_Results_2024[[#This Row],[Max Vote share other than bjp ]]</f>
        <v>2.832829818999999E-2</v>
      </c>
      <c r="T145">
        <v>1828717</v>
      </c>
      <c r="U145" s="8">
        <v>0.75857062629000005</v>
      </c>
      <c r="V145" s="1" t="s">
        <v>26</v>
      </c>
    </row>
    <row r="146" spans="1:22" x14ac:dyDescent="0.35">
      <c r="A146">
        <v>2024</v>
      </c>
      <c r="B146" s="1" t="s">
        <v>19</v>
      </c>
      <c r="C146" s="1" t="s">
        <v>518</v>
      </c>
      <c r="D146" s="1" t="s">
        <v>965</v>
      </c>
      <c r="E146" s="1" t="s">
        <v>21</v>
      </c>
      <c r="F146" s="1" t="s">
        <v>44</v>
      </c>
      <c r="G146" s="1" t="s">
        <v>67</v>
      </c>
      <c r="H146" s="1" t="s">
        <v>966</v>
      </c>
      <c r="I146" s="1" t="s">
        <v>167</v>
      </c>
      <c r="J146">
        <v>1387211</v>
      </c>
      <c r="K146">
        <v>1381622</v>
      </c>
      <c r="L146">
        <v>2366</v>
      </c>
      <c r="M146" s="9">
        <v>1.7124799692E-3</v>
      </c>
      <c r="N146">
        <v>432078</v>
      </c>
      <c r="O146" s="9">
        <v>0.31273242609000002</v>
      </c>
      <c r="P146">
        <v>471217</v>
      </c>
      <c r="Q146" s="9">
        <v>0.34106072428</v>
      </c>
      <c r="R146">
        <f>Telengana_Results_2024[[#This Row],[BJP votes]]-Telengana_Results_2024[[#This Row],[Max Votes Other Than BJP]]</f>
        <v>39139</v>
      </c>
      <c r="S146" s="10">
        <f>Telengana_Results_2024[[#This Row],[BJP vote share]]-Telengana_Results_2024[[#This Row],[Max Vote share other than bjp ]]</f>
        <v>2.832829818999999E-2</v>
      </c>
      <c r="T146">
        <v>1828717</v>
      </c>
      <c r="U146" s="8">
        <v>0.75857062629000005</v>
      </c>
      <c r="V146" s="1" t="s">
        <v>26</v>
      </c>
    </row>
    <row r="147" spans="1:22" x14ac:dyDescent="0.35">
      <c r="A147">
        <v>2024</v>
      </c>
      <c r="B147" s="1" t="s">
        <v>19</v>
      </c>
      <c r="C147" s="1" t="s">
        <v>518</v>
      </c>
      <c r="D147" s="1" t="s">
        <v>967</v>
      </c>
      <c r="E147" s="1" t="s">
        <v>21</v>
      </c>
      <c r="F147" s="1" t="s">
        <v>155</v>
      </c>
      <c r="G147" s="1" t="s">
        <v>112</v>
      </c>
      <c r="H147" s="1" t="s">
        <v>968</v>
      </c>
      <c r="I147" s="1" t="s">
        <v>818</v>
      </c>
      <c r="J147">
        <v>1387211</v>
      </c>
      <c r="K147">
        <v>1381622</v>
      </c>
      <c r="L147">
        <v>2132</v>
      </c>
      <c r="M147" s="9">
        <v>1.5431138183999999E-3</v>
      </c>
      <c r="N147">
        <v>432078</v>
      </c>
      <c r="O147" s="9">
        <v>0.31273242609000002</v>
      </c>
      <c r="P147">
        <v>471217</v>
      </c>
      <c r="Q147" s="9">
        <v>0.34106072428</v>
      </c>
      <c r="R147">
        <f>Telengana_Results_2024[[#This Row],[BJP votes]]-Telengana_Results_2024[[#This Row],[Max Votes Other Than BJP]]</f>
        <v>39139</v>
      </c>
      <c r="S147" s="10">
        <f>Telengana_Results_2024[[#This Row],[BJP vote share]]-Telengana_Results_2024[[#This Row],[Max Vote share other than bjp ]]</f>
        <v>2.832829818999999E-2</v>
      </c>
      <c r="T147">
        <v>1828717</v>
      </c>
      <c r="U147" s="8">
        <v>0.75857062629000005</v>
      </c>
      <c r="V147" s="1" t="s">
        <v>26</v>
      </c>
    </row>
    <row r="148" spans="1:22" x14ac:dyDescent="0.35">
      <c r="A148">
        <v>2024</v>
      </c>
      <c r="B148" s="1" t="s">
        <v>19</v>
      </c>
      <c r="C148" s="1" t="s">
        <v>518</v>
      </c>
      <c r="D148" s="1" t="s">
        <v>969</v>
      </c>
      <c r="E148" s="1" t="s">
        <v>21</v>
      </c>
      <c r="F148" s="1" t="s">
        <v>44</v>
      </c>
      <c r="G148" s="1" t="s">
        <v>67</v>
      </c>
      <c r="H148" s="1" t="s">
        <v>53</v>
      </c>
      <c r="I148" s="1" t="s">
        <v>892</v>
      </c>
      <c r="J148">
        <v>1387211</v>
      </c>
      <c r="K148">
        <v>1381622</v>
      </c>
      <c r="L148">
        <v>2038</v>
      </c>
      <c r="M148" s="9">
        <v>1.4750778432999999E-3</v>
      </c>
      <c r="N148">
        <v>432078</v>
      </c>
      <c r="O148" s="9">
        <v>0.31273242609000002</v>
      </c>
      <c r="P148">
        <v>471217</v>
      </c>
      <c r="Q148" s="9">
        <v>0.34106072428</v>
      </c>
      <c r="R148">
        <f>Telengana_Results_2024[[#This Row],[BJP votes]]-Telengana_Results_2024[[#This Row],[Max Votes Other Than BJP]]</f>
        <v>39139</v>
      </c>
      <c r="S148" s="10">
        <f>Telengana_Results_2024[[#This Row],[BJP vote share]]-Telengana_Results_2024[[#This Row],[Max Vote share other than bjp ]]</f>
        <v>2.832829818999999E-2</v>
      </c>
      <c r="T148">
        <v>1828717</v>
      </c>
      <c r="U148" s="8">
        <v>0.75857062629000005</v>
      </c>
      <c r="V148" s="1" t="s">
        <v>26</v>
      </c>
    </row>
    <row r="149" spans="1:22" x14ac:dyDescent="0.35">
      <c r="A149">
        <v>2024</v>
      </c>
      <c r="B149" s="1" t="s">
        <v>19</v>
      </c>
      <c r="C149" s="1" t="s">
        <v>518</v>
      </c>
      <c r="D149" s="1" t="s">
        <v>970</v>
      </c>
      <c r="E149" s="1" t="s">
        <v>21</v>
      </c>
      <c r="F149" s="1" t="s">
        <v>205</v>
      </c>
      <c r="G149" s="1" t="s">
        <v>112</v>
      </c>
      <c r="H149" s="1" t="s">
        <v>53</v>
      </c>
      <c r="I149" s="1" t="s">
        <v>948</v>
      </c>
      <c r="J149">
        <v>1387211</v>
      </c>
      <c r="K149">
        <v>1381622</v>
      </c>
      <c r="L149">
        <v>2031</v>
      </c>
      <c r="M149" s="9">
        <v>1.4700113345E-3</v>
      </c>
      <c r="N149">
        <v>432078</v>
      </c>
      <c r="O149" s="9">
        <v>0.31273242609000002</v>
      </c>
      <c r="P149">
        <v>471217</v>
      </c>
      <c r="Q149" s="9">
        <v>0.34106072428</v>
      </c>
      <c r="R149">
        <f>Telengana_Results_2024[[#This Row],[BJP votes]]-Telengana_Results_2024[[#This Row],[Max Votes Other Than BJP]]</f>
        <v>39139</v>
      </c>
      <c r="S149" s="10">
        <f>Telengana_Results_2024[[#This Row],[BJP vote share]]-Telengana_Results_2024[[#This Row],[Max Vote share other than bjp ]]</f>
        <v>2.832829818999999E-2</v>
      </c>
      <c r="T149">
        <v>1828717</v>
      </c>
      <c r="U149" s="8">
        <v>0.75857062629000005</v>
      </c>
      <c r="V149" s="1" t="s">
        <v>26</v>
      </c>
    </row>
    <row r="150" spans="1:22" x14ac:dyDescent="0.35">
      <c r="A150">
        <v>2024</v>
      </c>
      <c r="B150" s="1" t="s">
        <v>19</v>
      </c>
      <c r="C150" s="1" t="s">
        <v>518</v>
      </c>
      <c r="D150" s="1" t="s">
        <v>971</v>
      </c>
      <c r="E150" s="1" t="s">
        <v>21</v>
      </c>
      <c r="F150" s="1" t="s">
        <v>80</v>
      </c>
      <c r="G150" s="1" t="s">
        <v>67</v>
      </c>
      <c r="H150" s="1" t="s">
        <v>84</v>
      </c>
      <c r="I150" s="1" t="s">
        <v>85</v>
      </c>
      <c r="J150">
        <v>1387211</v>
      </c>
      <c r="K150">
        <v>1381622</v>
      </c>
      <c r="L150">
        <v>2011</v>
      </c>
      <c r="M150" s="9">
        <v>1.4555355951000001E-3</v>
      </c>
      <c r="N150">
        <v>432078</v>
      </c>
      <c r="O150" s="9">
        <v>0.31273242609000002</v>
      </c>
      <c r="P150">
        <v>471217</v>
      </c>
      <c r="Q150" s="9">
        <v>0.34106072428</v>
      </c>
      <c r="R150">
        <f>Telengana_Results_2024[[#This Row],[BJP votes]]-Telengana_Results_2024[[#This Row],[Max Votes Other Than BJP]]</f>
        <v>39139</v>
      </c>
      <c r="S150" s="10">
        <f>Telengana_Results_2024[[#This Row],[BJP vote share]]-Telengana_Results_2024[[#This Row],[Max Vote share other than bjp ]]</f>
        <v>2.832829818999999E-2</v>
      </c>
      <c r="T150">
        <v>1828717</v>
      </c>
      <c r="U150" s="8">
        <v>0.75857062629000005</v>
      </c>
      <c r="V150" s="1" t="s">
        <v>26</v>
      </c>
    </row>
    <row r="151" spans="1:22" x14ac:dyDescent="0.35">
      <c r="A151">
        <v>2024</v>
      </c>
      <c r="B151" s="1" t="s">
        <v>19</v>
      </c>
      <c r="C151" s="1" t="s">
        <v>518</v>
      </c>
      <c r="D151" s="1" t="s">
        <v>972</v>
      </c>
      <c r="E151" s="1" t="s">
        <v>21</v>
      </c>
      <c r="F151" s="1" t="s">
        <v>99</v>
      </c>
      <c r="G151" s="1" t="s">
        <v>112</v>
      </c>
      <c r="H151" s="1" t="s">
        <v>53</v>
      </c>
      <c r="I151" s="1" t="s">
        <v>57</v>
      </c>
      <c r="J151">
        <v>1387211</v>
      </c>
      <c r="K151">
        <v>1381622</v>
      </c>
      <c r="L151">
        <v>2010</v>
      </c>
      <c r="M151" s="9">
        <v>1.4548118082000001E-3</v>
      </c>
      <c r="N151">
        <v>432078</v>
      </c>
      <c r="O151" s="9">
        <v>0.31273242609000002</v>
      </c>
      <c r="P151">
        <v>471217</v>
      </c>
      <c r="Q151" s="9">
        <v>0.34106072428</v>
      </c>
      <c r="R151">
        <f>Telengana_Results_2024[[#This Row],[BJP votes]]-Telengana_Results_2024[[#This Row],[Max Votes Other Than BJP]]</f>
        <v>39139</v>
      </c>
      <c r="S151" s="10">
        <f>Telengana_Results_2024[[#This Row],[BJP vote share]]-Telengana_Results_2024[[#This Row],[Max Vote share other than bjp ]]</f>
        <v>2.832829818999999E-2</v>
      </c>
      <c r="T151">
        <v>1828717</v>
      </c>
      <c r="U151" s="8">
        <v>0.75857062629000005</v>
      </c>
      <c r="V151" s="1" t="s">
        <v>26</v>
      </c>
    </row>
    <row r="152" spans="1:22" x14ac:dyDescent="0.35">
      <c r="A152">
        <v>2024</v>
      </c>
      <c r="B152" s="1" t="s">
        <v>19</v>
      </c>
      <c r="C152" s="1" t="s">
        <v>518</v>
      </c>
      <c r="D152" s="1" t="s">
        <v>973</v>
      </c>
      <c r="E152" s="1" t="s">
        <v>21</v>
      </c>
      <c r="F152" s="1" t="s">
        <v>165</v>
      </c>
      <c r="G152" s="1" t="s">
        <v>112</v>
      </c>
      <c r="H152" s="1" t="s">
        <v>882</v>
      </c>
      <c r="I152" s="1" t="s">
        <v>820</v>
      </c>
      <c r="J152">
        <v>1387211</v>
      </c>
      <c r="K152">
        <v>1381622</v>
      </c>
      <c r="L152">
        <v>1774</v>
      </c>
      <c r="M152" s="9">
        <v>1.2839980834E-3</v>
      </c>
      <c r="N152">
        <v>432078</v>
      </c>
      <c r="O152" s="9">
        <v>0.31273242609000002</v>
      </c>
      <c r="P152">
        <v>471217</v>
      </c>
      <c r="Q152" s="9">
        <v>0.34106072428</v>
      </c>
      <c r="R152">
        <f>Telengana_Results_2024[[#This Row],[BJP votes]]-Telengana_Results_2024[[#This Row],[Max Votes Other Than BJP]]</f>
        <v>39139</v>
      </c>
      <c r="S152" s="10">
        <f>Telengana_Results_2024[[#This Row],[BJP vote share]]-Telengana_Results_2024[[#This Row],[Max Vote share other than bjp ]]</f>
        <v>2.832829818999999E-2</v>
      </c>
      <c r="T152">
        <v>1828717</v>
      </c>
      <c r="U152" s="8">
        <v>0.75857062629000005</v>
      </c>
      <c r="V152" s="1" t="s">
        <v>26</v>
      </c>
    </row>
    <row r="153" spans="1:22" x14ac:dyDescent="0.35">
      <c r="A153">
        <v>2024</v>
      </c>
      <c r="B153" s="1" t="s">
        <v>19</v>
      </c>
      <c r="C153" s="1" t="s">
        <v>518</v>
      </c>
      <c r="D153" s="1" t="s">
        <v>974</v>
      </c>
      <c r="E153" s="1" t="s">
        <v>35</v>
      </c>
      <c r="F153" s="1" t="s">
        <v>117</v>
      </c>
      <c r="G153" s="1" t="s">
        <v>112</v>
      </c>
      <c r="H153" s="1" t="s">
        <v>53</v>
      </c>
      <c r="I153" s="1" t="s">
        <v>975</v>
      </c>
      <c r="J153">
        <v>1387211</v>
      </c>
      <c r="K153">
        <v>1381622</v>
      </c>
      <c r="L153">
        <v>1540</v>
      </c>
      <c r="M153" s="9">
        <v>1.1146319326000001E-3</v>
      </c>
      <c r="N153">
        <v>432078</v>
      </c>
      <c r="O153" s="9">
        <v>0.31273242609000002</v>
      </c>
      <c r="P153">
        <v>471217</v>
      </c>
      <c r="Q153" s="9">
        <v>0.34106072428</v>
      </c>
      <c r="R153">
        <f>Telengana_Results_2024[[#This Row],[BJP votes]]-Telengana_Results_2024[[#This Row],[Max Votes Other Than BJP]]</f>
        <v>39139</v>
      </c>
      <c r="S153" s="10">
        <f>Telengana_Results_2024[[#This Row],[BJP vote share]]-Telengana_Results_2024[[#This Row],[Max Vote share other than bjp ]]</f>
        <v>2.832829818999999E-2</v>
      </c>
      <c r="T153">
        <v>1828717</v>
      </c>
      <c r="U153" s="8">
        <v>0.75857062629000005</v>
      </c>
      <c r="V153" s="1" t="s">
        <v>26</v>
      </c>
    </row>
    <row r="154" spans="1:22" x14ac:dyDescent="0.35">
      <c r="A154">
        <v>2024</v>
      </c>
      <c r="B154" s="1" t="s">
        <v>19</v>
      </c>
      <c r="C154" s="1" t="s">
        <v>518</v>
      </c>
      <c r="D154" s="1" t="s">
        <v>976</v>
      </c>
      <c r="E154" s="1" t="s">
        <v>21</v>
      </c>
      <c r="F154" s="1" t="s">
        <v>56</v>
      </c>
      <c r="G154" s="1" t="s">
        <v>112</v>
      </c>
      <c r="H154" s="1" t="s">
        <v>53</v>
      </c>
      <c r="I154" s="1" t="s">
        <v>206</v>
      </c>
      <c r="J154">
        <v>1387211</v>
      </c>
      <c r="K154">
        <v>1381622</v>
      </c>
      <c r="L154">
        <v>1467</v>
      </c>
      <c r="M154" s="9">
        <v>1.0617954839000001E-3</v>
      </c>
      <c r="N154">
        <v>432078</v>
      </c>
      <c r="O154" s="9">
        <v>0.31273242609000002</v>
      </c>
      <c r="P154">
        <v>471217</v>
      </c>
      <c r="Q154" s="9">
        <v>0.34106072428</v>
      </c>
      <c r="R154">
        <f>Telengana_Results_2024[[#This Row],[BJP votes]]-Telengana_Results_2024[[#This Row],[Max Votes Other Than BJP]]</f>
        <v>39139</v>
      </c>
      <c r="S154" s="10">
        <f>Telengana_Results_2024[[#This Row],[BJP vote share]]-Telengana_Results_2024[[#This Row],[Max Vote share other than bjp ]]</f>
        <v>2.832829818999999E-2</v>
      </c>
      <c r="T154">
        <v>1828717</v>
      </c>
      <c r="U154" s="8">
        <v>0.75857062629000005</v>
      </c>
      <c r="V154" s="1" t="s">
        <v>26</v>
      </c>
    </row>
    <row r="155" spans="1:22" x14ac:dyDescent="0.35">
      <c r="A155">
        <v>2024</v>
      </c>
      <c r="B155" s="1" t="s">
        <v>19</v>
      </c>
      <c r="C155" s="1" t="s">
        <v>518</v>
      </c>
      <c r="D155" s="1" t="s">
        <v>977</v>
      </c>
      <c r="E155" s="1" t="s">
        <v>21</v>
      </c>
      <c r="F155" s="1" t="s">
        <v>234</v>
      </c>
      <c r="G155" s="1" t="s">
        <v>112</v>
      </c>
      <c r="H155" s="1" t="s">
        <v>53</v>
      </c>
      <c r="I155" s="1" t="s">
        <v>129</v>
      </c>
      <c r="J155">
        <v>1387211</v>
      </c>
      <c r="K155">
        <v>1381622</v>
      </c>
      <c r="L155">
        <v>1414</v>
      </c>
      <c r="M155" s="9">
        <v>1.0234347745000001E-3</v>
      </c>
      <c r="N155">
        <v>432078</v>
      </c>
      <c r="O155" s="9">
        <v>0.31273242609000002</v>
      </c>
      <c r="P155">
        <v>471217</v>
      </c>
      <c r="Q155" s="9">
        <v>0.34106072428</v>
      </c>
      <c r="R155">
        <f>Telengana_Results_2024[[#This Row],[BJP votes]]-Telengana_Results_2024[[#This Row],[Max Votes Other Than BJP]]</f>
        <v>39139</v>
      </c>
      <c r="S155" s="10">
        <f>Telengana_Results_2024[[#This Row],[BJP vote share]]-Telengana_Results_2024[[#This Row],[Max Vote share other than bjp ]]</f>
        <v>2.832829818999999E-2</v>
      </c>
      <c r="T155">
        <v>1828717</v>
      </c>
      <c r="U155" s="8">
        <v>0.75857062629000005</v>
      </c>
      <c r="V155" s="1" t="s">
        <v>26</v>
      </c>
    </row>
    <row r="156" spans="1:22" x14ac:dyDescent="0.35">
      <c r="A156">
        <v>2024</v>
      </c>
      <c r="B156" s="1" t="s">
        <v>19</v>
      </c>
      <c r="C156" s="1" t="s">
        <v>518</v>
      </c>
      <c r="D156" s="1" t="s">
        <v>978</v>
      </c>
      <c r="E156" s="1" t="s">
        <v>21</v>
      </c>
      <c r="F156" s="1" t="s">
        <v>48</v>
      </c>
      <c r="G156" s="1" t="s">
        <v>112</v>
      </c>
      <c r="H156" s="1" t="s">
        <v>53</v>
      </c>
      <c r="I156" s="1" t="s">
        <v>313</v>
      </c>
      <c r="J156">
        <v>1387211</v>
      </c>
      <c r="K156">
        <v>1381622</v>
      </c>
      <c r="L156">
        <v>1393</v>
      </c>
      <c r="M156" s="9">
        <v>1.0082352481000001E-3</v>
      </c>
      <c r="N156">
        <v>432078</v>
      </c>
      <c r="O156" s="9">
        <v>0.31273242609000002</v>
      </c>
      <c r="P156">
        <v>471217</v>
      </c>
      <c r="Q156" s="9">
        <v>0.34106072428</v>
      </c>
      <c r="R156">
        <f>Telengana_Results_2024[[#This Row],[BJP votes]]-Telengana_Results_2024[[#This Row],[Max Votes Other Than BJP]]</f>
        <v>39139</v>
      </c>
      <c r="S156" s="10">
        <f>Telengana_Results_2024[[#This Row],[BJP vote share]]-Telengana_Results_2024[[#This Row],[Max Vote share other than bjp ]]</f>
        <v>2.832829818999999E-2</v>
      </c>
      <c r="T156">
        <v>1828717</v>
      </c>
      <c r="U156" s="8">
        <v>0.75857062629000005</v>
      </c>
      <c r="V156" s="1" t="s">
        <v>26</v>
      </c>
    </row>
    <row r="157" spans="1:22" x14ac:dyDescent="0.35">
      <c r="A157">
        <v>2024</v>
      </c>
      <c r="B157" s="1" t="s">
        <v>19</v>
      </c>
      <c r="C157" s="1" t="s">
        <v>518</v>
      </c>
      <c r="D157" s="1" t="s">
        <v>979</v>
      </c>
      <c r="E157" s="1" t="s">
        <v>21</v>
      </c>
      <c r="F157" s="1" t="s">
        <v>205</v>
      </c>
      <c r="G157" s="1" t="s">
        <v>67</v>
      </c>
      <c r="H157" s="1" t="s">
        <v>53</v>
      </c>
      <c r="I157" s="1" t="s">
        <v>46</v>
      </c>
      <c r="J157">
        <v>1387211</v>
      </c>
      <c r="K157">
        <v>1381622</v>
      </c>
      <c r="L157">
        <v>1264</v>
      </c>
      <c r="M157" s="9">
        <v>9.1486672910999999E-4</v>
      </c>
      <c r="N157">
        <v>432078</v>
      </c>
      <c r="O157" s="9">
        <v>0.31273242609000002</v>
      </c>
      <c r="P157">
        <v>471217</v>
      </c>
      <c r="Q157" s="9">
        <v>0.34106072428</v>
      </c>
      <c r="R157">
        <f>Telengana_Results_2024[[#This Row],[BJP votes]]-Telengana_Results_2024[[#This Row],[Max Votes Other Than BJP]]</f>
        <v>39139</v>
      </c>
      <c r="S157" s="10">
        <f>Telengana_Results_2024[[#This Row],[BJP vote share]]-Telengana_Results_2024[[#This Row],[Max Vote share other than bjp ]]</f>
        <v>2.832829818999999E-2</v>
      </c>
      <c r="T157">
        <v>1828717</v>
      </c>
      <c r="U157" s="8">
        <v>0.75857062629000005</v>
      </c>
      <c r="V157" s="1" t="s">
        <v>26</v>
      </c>
    </row>
    <row r="158" spans="1:22" x14ac:dyDescent="0.35">
      <c r="A158">
        <v>2024</v>
      </c>
      <c r="B158" s="1" t="s">
        <v>19</v>
      </c>
      <c r="C158" s="1" t="s">
        <v>518</v>
      </c>
      <c r="D158" s="1" t="s">
        <v>980</v>
      </c>
      <c r="E158" s="1" t="s">
        <v>21</v>
      </c>
      <c r="F158" s="1" t="s">
        <v>48</v>
      </c>
      <c r="G158" s="1" t="s">
        <v>67</v>
      </c>
      <c r="H158" s="1" t="s">
        <v>53</v>
      </c>
      <c r="I158" s="1" t="s">
        <v>467</v>
      </c>
      <c r="J158">
        <v>1387211</v>
      </c>
      <c r="K158">
        <v>1381622</v>
      </c>
      <c r="L158">
        <v>1196</v>
      </c>
      <c r="M158" s="9">
        <v>8.6564921519999998E-4</v>
      </c>
      <c r="N158">
        <v>432078</v>
      </c>
      <c r="O158" s="9">
        <v>0.31273242609000002</v>
      </c>
      <c r="P158">
        <v>471217</v>
      </c>
      <c r="Q158" s="9">
        <v>0.34106072428</v>
      </c>
      <c r="R158">
        <f>Telengana_Results_2024[[#This Row],[BJP votes]]-Telengana_Results_2024[[#This Row],[Max Votes Other Than BJP]]</f>
        <v>39139</v>
      </c>
      <c r="S158" s="10">
        <f>Telengana_Results_2024[[#This Row],[BJP vote share]]-Telengana_Results_2024[[#This Row],[Max Vote share other than bjp ]]</f>
        <v>2.832829818999999E-2</v>
      </c>
      <c r="T158">
        <v>1828717</v>
      </c>
      <c r="U158" s="8">
        <v>0.75857062629000005</v>
      </c>
      <c r="V158" s="1" t="s">
        <v>26</v>
      </c>
    </row>
    <row r="159" spans="1:22" x14ac:dyDescent="0.35">
      <c r="A159">
        <v>2024</v>
      </c>
      <c r="B159" s="1" t="s">
        <v>19</v>
      </c>
      <c r="C159" s="1" t="s">
        <v>518</v>
      </c>
      <c r="D159" s="1" t="s">
        <v>981</v>
      </c>
      <c r="E159" s="1" t="s">
        <v>21</v>
      </c>
      <c r="F159" s="1" t="s">
        <v>155</v>
      </c>
      <c r="G159" s="1" t="s">
        <v>67</v>
      </c>
      <c r="H159" s="1" t="s">
        <v>798</v>
      </c>
      <c r="I159" s="1" t="s">
        <v>749</v>
      </c>
      <c r="J159">
        <v>1387211</v>
      </c>
      <c r="K159">
        <v>1381622</v>
      </c>
      <c r="L159">
        <v>1152</v>
      </c>
      <c r="M159" s="9">
        <v>8.3380258854999999E-4</v>
      </c>
      <c r="N159">
        <v>432078</v>
      </c>
      <c r="O159" s="9">
        <v>0.31273242609000002</v>
      </c>
      <c r="P159">
        <v>471217</v>
      </c>
      <c r="Q159" s="9">
        <v>0.34106072428</v>
      </c>
      <c r="R159">
        <f>Telengana_Results_2024[[#This Row],[BJP votes]]-Telengana_Results_2024[[#This Row],[Max Votes Other Than BJP]]</f>
        <v>39139</v>
      </c>
      <c r="S159" s="10">
        <f>Telengana_Results_2024[[#This Row],[BJP vote share]]-Telengana_Results_2024[[#This Row],[Max Vote share other than bjp ]]</f>
        <v>2.832829818999999E-2</v>
      </c>
      <c r="T159">
        <v>1828717</v>
      </c>
      <c r="U159" s="8">
        <v>0.75857062629000005</v>
      </c>
      <c r="V159" s="1" t="s">
        <v>26</v>
      </c>
    </row>
    <row r="160" spans="1:22" x14ac:dyDescent="0.35">
      <c r="A160">
        <v>2024</v>
      </c>
      <c r="B160" s="1" t="s">
        <v>19</v>
      </c>
      <c r="C160" s="1" t="s">
        <v>518</v>
      </c>
      <c r="D160" s="1" t="s">
        <v>982</v>
      </c>
      <c r="E160" s="1" t="s">
        <v>21</v>
      </c>
      <c r="F160" s="1" t="s">
        <v>205</v>
      </c>
      <c r="G160" s="1" t="s">
        <v>112</v>
      </c>
      <c r="H160" s="1" t="s">
        <v>53</v>
      </c>
      <c r="I160" s="1" t="s">
        <v>163</v>
      </c>
      <c r="J160">
        <v>1387211</v>
      </c>
      <c r="K160">
        <v>1381622</v>
      </c>
      <c r="L160">
        <v>924</v>
      </c>
      <c r="M160" s="9">
        <v>6.6877915957E-4</v>
      </c>
      <c r="N160">
        <v>432078</v>
      </c>
      <c r="O160" s="9">
        <v>0.31273242609000002</v>
      </c>
      <c r="P160">
        <v>471217</v>
      </c>
      <c r="Q160" s="9">
        <v>0.34106072428</v>
      </c>
      <c r="R160">
        <f>Telengana_Results_2024[[#This Row],[BJP votes]]-Telengana_Results_2024[[#This Row],[Max Votes Other Than BJP]]</f>
        <v>39139</v>
      </c>
      <c r="S160" s="10">
        <f>Telengana_Results_2024[[#This Row],[BJP vote share]]-Telengana_Results_2024[[#This Row],[Max Vote share other than bjp ]]</f>
        <v>2.832829818999999E-2</v>
      </c>
      <c r="T160">
        <v>1828717</v>
      </c>
      <c r="U160" s="8">
        <v>0.75857062629000005</v>
      </c>
      <c r="V160" s="1" t="s">
        <v>26</v>
      </c>
    </row>
    <row r="161" spans="1:22" x14ac:dyDescent="0.35">
      <c r="A161">
        <v>2024</v>
      </c>
      <c r="B161" s="1" t="s">
        <v>19</v>
      </c>
      <c r="C161" s="1" t="s">
        <v>518</v>
      </c>
      <c r="D161" s="1" t="s">
        <v>983</v>
      </c>
      <c r="E161" s="1" t="s">
        <v>21</v>
      </c>
      <c r="F161" s="1" t="s">
        <v>165</v>
      </c>
      <c r="G161" s="1" t="s">
        <v>112</v>
      </c>
      <c r="H161" s="1" t="s">
        <v>939</v>
      </c>
      <c r="I161" s="1" t="s">
        <v>984</v>
      </c>
      <c r="J161">
        <v>1387211</v>
      </c>
      <c r="K161">
        <v>1381622</v>
      </c>
      <c r="L161">
        <v>917</v>
      </c>
      <c r="M161" s="9">
        <v>6.6371265077999999E-4</v>
      </c>
      <c r="N161">
        <v>432078</v>
      </c>
      <c r="O161" s="9">
        <v>0.31273242609000002</v>
      </c>
      <c r="P161">
        <v>471217</v>
      </c>
      <c r="Q161" s="9">
        <v>0.34106072428</v>
      </c>
      <c r="R161">
        <f>Telengana_Results_2024[[#This Row],[BJP votes]]-Telengana_Results_2024[[#This Row],[Max Votes Other Than BJP]]</f>
        <v>39139</v>
      </c>
      <c r="S161" s="10">
        <f>Telengana_Results_2024[[#This Row],[BJP vote share]]-Telengana_Results_2024[[#This Row],[Max Vote share other than bjp ]]</f>
        <v>2.832829818999999E-2</v>
      </c>
      <c r="T161">
        <v>1828717</v>
      </c>
      <c r="U161" s="8">
        <v>0.75857062629000005</v>
      </c>
      <c r="V161" s="1" t="s">
        <v>26</v>
      </c>
    </row>
    <row r="162" spans="1:22" x14ac:dyDescent="0.35">
      <c r="A162">
        <v>2024</v>
      </c>
      <c r="B162" s="1" t="s">
        <v>19</v>
      </c>
      <c r="C162" s="1" t="s">
        <v>518</v>
      </c>
      <c r="D162" s="1" t="s">
        <v>985</v>
      </c>
      <c r="E162" s="1" t="s">
        <v>21</v>
      </c>
      <c r="F162" s="1" t="s">
        <v>165</v>
      </c>
      <c r="G162" s="1" t="s">
        <v>112</v>
      </c>
      <c r="H162" s="1" t="s">
        <v>986</v>
      </c>
      <c r="I162" s="1" t="s">
        <v>987</v>
      </c>
      <c r="J162">
        <v>1387211</v>
      </c>
      <c r="K162">
        <v>1381622</v>
      </c>
      <c r="L162">
        <v>797</v>
      </c>
      <c r="M162" s="9">
        <v>5.7685821448000003E-4</v>
      </c>
      <c r="N162">
        <v>432078</v>
      </c>
      <c r="O162" s="9">
        <v>0.31273242609000002</v>
      </c>
      <c r="P162">
        <v>471217</v>
      </c>
      <c r="Q162" s="9">
        <v>0.34106072428</v>
      </c>
      <c r="R162">
        <f>Telengana_Results_2024[[#This Row],[BJP votes]]-Telengana_Results_2024[[#This Row],[Max Votes Other Than BJP]]</f>
        <v>39139</v>
      </c>
      <c r="S162" s="10">
        <f>Telengana_Results_2024[[#This Row],[BJP vote share]]-Telengana_Results_2024[[#This Row],[Max Vote share other than bjp ]]</f>
        <v>2.832829818999999E-2</v>
      </c>
      <c r="T162">
        <v>1828717</v>
      </c>
      <c r="U162" s="8">
        <v>0.75857062629000005</v>
      </c>
      <c r="V162" s="1" t="s">
        <v>26</v>
      </c>
    </row>
    <row r="163" spans="1:22" x14ac:dyDescent="0.35">
      <c r="A163">
        <v>2024</v>
      </c>
      <c r="B163" s="1" t="s">
        <v>19</v>
      </c>
      <c r="C163" s="1" t="s">
        <v>518</v>
      </c>
      <c r="D163" s="1" t="s">
        <v>988</v>
      </c>
      <c r="E163" s="1" t="s">
        <v>21</v>
      </c>
      <c r="F163" s="1" t="s">
        <v>379</v>
      </c>
      <c r="G163" s="1" t="s">
        <v>112</v>
      </c>
      <c r="H163" s="1" t="s">
        <v>53</v>
      </c>
      <c r="I163" s="1" t="s">
        <v>343</v>
      </c>
      <c r="J163">
        <v>1387211</v>
      </c>
      <c r="K163">
        <v>1381622</v>
      </c>
      <c r="L163">
        <v>793</v>
      </c>
      <c r="M163" s="9">
        <v>5.7396306659999996E-4</v>
      </c>
      <c r="N163">
        <v>432078</v>
      </c>
      <c r="O163" s="9">
        <v>0.31273242609000002</v>
      </c>
      <c r="P163">
        <v>471217</v>
      </c>
      <c r="Q163" s="9">
        <v>0.34106072428</v>
      </c>
      <c r="R163">
        <f>Telengana_Results_2024[[#This Row],[BJP votes]]-Telengana_Results_2024[[#This Row],[Max Votes Other Than BJP]]</f>
        <v>39139</v>
      </c>
      <c r="S163" s="10">
        <f>Telengana_Results_2024[[#This Row],[BJP vote share]]-Telengana_Results_2024[[#This Row],[Max Vote share other than bjp ]]</f>
        <v>2.832829818999999E-2</v>
      </c>
      <c r="T163">
        <v>1828717</v>
      </c>
      <c r="U163" s="8">
        <v>0.75857062629000005</v>
      </c>
      <c r="V163" s="1" t="s">
        <v>26</v>
      </c>
    </row>
    <row r="164" spans="1:22" x14ac:dyDescent="0.35">
      <c r="A164">
        <v>2024</v>
      </c>
      <c r="B164" s="1" t="s">
        <v>19</v>
      </c>
      <c r="C164" s="1" t="s">
        <v>518</v>
      </c>
      <c r="D164" s="1" t="s">
        <v>989</v>
      </c>
      <c r="E164" s="1" t="s">
        <v>21</v>
      </c>
      <c r="F164" s="1" t="s">
        <v>36</v>
      </c>
      <c r="G164" s="1" t="s">
        <v>112</v>
      </c>
      <c r="H164" s="1" t="s">
        <v>53</v>
      </c>
      <c r="I164" s="1" t="s">
        <v>194</v>
      </c>
      <c r="J164">
        <v>1387211</v>
      </c>
      <c r="K164">
        <v>1381622</v>
      </c>
      <c r="L164">
        <v>778</v>
      </c>
      <c r="M164" s="9">
        <v>5.6310626205999996E-4</v>
      </c>
      <c r="N164">
        <v>432078</v>
      </c>
      <c r="O164" s="9">
        <v>0.31273242609000002</v>
      </c>
      <c r="P164">
        <v>471217</v>
      </c>
      <c r="Q164" s="9">
        <v>0.34106072428</v>
      </c>
      <c r="R164">
        <f>Telengana_Results_2024[[#This Row],[BJP votes]]-Telengana_Results_2024[[#This Row],[Max Votes Other Than BJP]]</f>
        <v>39139</v>
      </c>
      <c r="S164" s="10">
        <f>Telengana_Results_2024[[#This Row],[BJP vote share]]-Telengana_Results_2024[[#This Row],[Max Vote share other than bjp ]]</f>
        <v>2.832829818999999E-2</v>
      </c>
      <c r="T164">
        <v>1828717</v>
      </c>
      <c r="U164" s="8">
        <v>0.75857062629000005</v>
      </c>
      <c r="V164" s="1" t="s">
        <v>26</v>
      </c>
    </row>
    <row r="165" spans="1:22" x14ac:dyDescent="0.35">
      <c r="A165">
        <v>2024</v>
      </c>
      <c r="B165" s="1" t="s">
        <v>19</v>
      </c>
      <c r="C165" s="1" t="s">
        <v>518</v>
      </c>
      <c r="D165" s="1" t="s">
        <v>990</v>
      </c>
      <c r="E165" s="1" t="s">
        <v>21</v>
      </c>
      <c r="F165" s="1" t="s">
        <v>165</v>
      </c>
      <c r="G165" s="1" t="s">
        <v>67</v>
      </c>
      <c r="H165" s="1" t="s">
        <v>53</v>
      </c>
      <c r="I165" s="1" t="s">
        <v>991</v>
      </c>
      <c r="J165">
        <v>1387211</v>
      </c>
      <c r="K165">
        <v>1381622</v>
      </c>
      <c r="L165">
        <v>675</v>
      </c>
      <c r="M165" s="9">
        <v>4.8855620423000001E-4</v>
      </c>
      <c r="N165">
        <v>432078</v>
      </c>
      <c r="O165" s="9">
        <v>0.31273242609000002</v>
      </c>
      <c r="P165">
        <v>471217</v>
      </c>
      <c r="Q165" s="9">
        <v>0.34106072428</v>
      </c>
      <c r="R165">
        <f>Telengana_Results_2024[[#This Row],[BJP votes]]-Telengana_Results_2024[[#This Row],[Max Votes Other Than BJP]]</f>
        <v>39139</v>
      </c>
      <c r="S165" s="10">
        <f>Telengana_Results_2024[[#This Row],[BJP vote share]]-Telengana_Results_2024[[#This Row],[Max Vote share other than bjp ]]</f>
        <v>2.832829818999999E-2</v>
      </c>
      <c r="T165">
        <v>1828717</v>
      </c>
      <c r="U165" s="8">
        <v>0.75857062629000005</v>
      </c>
      <c r="V165" s="1" t="s">
        <v>26</v>
      </c>
    </row>
    <row r="166" spans="1:22" x14ac:dyDescent="0.35">
      <c r="A166">
        <v>2024</v>
      </c>
      <c r="B166" s="1" t="s">
        <v>19</v>
      </c>
      <c r="C166" s="1" t="s">
        <v>518</v>
      </c>
      <c r="D166" s="1" t="s">
        <v>992</v>
      </c>
      <c r="E166" s="1" t="s">
        <v>21</v>
      </c>
      <c r="F166" s="1" t="s">
        <v>62</v>
      </c>
      <c r="G166" s="1" t="s">
        <v>112</v>
      </c>
      <c r="H166" s="1" t="s">
        <v>77</v>
      </c>
      <c r="I166" s="1" t="s">
        <v>139</v>
      </c>
      <c r="J166">
        <v>1387211</v>
      </c>
      <c r="K166">
        <v>1381622</v>
      </c>
      <c r="L166">
        <v>658</v>
      </c>
      <c r="M166" s="9">
        <v>4.7625182575000003E-4</v>
      </c>
      <c r="N166">
        <v>432078</v>
      </c>
      <c r="O166" s="9">
        <v>0.31273242609000002</v>
      </c>
      <c r="P166">
        <v>471217</v>
      </c>
      <c r="Q166" s="9">
        <v>0.34106072428</v>
      </c>
      <c r="R166">
        <f>Telengana_Results_2024[[#This Row],[BJP votes]]-Telengana_Results_2024[[#This Row],[Max Votes Other Than BJP]]</f>
        <v>39139</v>
      </c>
      <c r="S166" s="10">
        <f>Telengana_Results_2024[[#This Row],[BJP vote share]]-Telengana_Results_2024[[#This Row],[Max Vote share other than bjp ]]</f>
        <v>2.832829818999999E-2</v>
      </c>
      <c r="T166">
        <v>1828717</v>
      </c>
      <c r="U166" s="8">
        <v>0.75857062629000005</v>
      </c>
      <c r="V166" s="1" t="s">
        <v>26</v>
      </c>
    </row>
    <row r="167" spans="1:22" x14ac:dyDescent="0.35">
      <c r="A167">
        <v>2024</v>
      </c>
      <c r="B167" s="1" t="s">
        <v>19</v>
      </c>
      <c r="C167" s="1" t="s">
        <v>518</v>
      </c>
      <c r="D167" s="1" t="s">
        <v>945</v>
      </c>
      <c r="E167" s="1" t="s">
        <v>21</v>
      </c>
      <c r="F167" s="1" t="s">
        <v>44</v>
      </c>
      <c r="G167" s="1" t="s">
        <v>112</v>
      </c>
      <c r="H167" s="1" t="s">
        <v>53</v>
      </c>
      <c r="I167" s="1" t="s">
        <v>890</v>
      </c>
      <c r="J167">
        <v>1387211</v>
      </c>
      <c r="K167">
        <v>1381622</v>
      </c>
      <c r="L167">
        <v>607</v>
      </c>
      <c r="M167" s="9">
        <v>4.3933869032E-4</v>
      </c>
      <c r="N167">
        <v>432078</v>
      </c>
      <c r="O167" s="9">
        <v>0.31273242609000002</v>
      </c>
      <c r="P167">
        <v>471217</v>
      </c>
      <c r="Q167" s="9">
        <v>0.34106072428</v>
      </c>
      <c r="R167">
        <f>Telengana_Results_2024[[#This Row],[BJP votes]]-Telengana_Results_2024[[#This Row],[Max Votes Other Than BJP]]</f>
        <v>39139</v>
      </c>
      <c r="S167" s="10">
        <f>Telengana_Results_2024[[#This Row],[BJP vote share]]-Telengana_Results_2024[[#This Row],[Max Vote share other than bjp ]]</f>
        <v>2.832829818999999E-2</v>
      </c>
      <c r="T167">
        <v>1828717</v>
      </c>
      <c r="U167" s="8">
        <v>0.75857062629000005</v>
      </c>
      <c r="V167" s="1" t="s">
        <v>26</v>
      </c>
    </row>
    <row r="168" spans="1:22" x14ac:dyDescent="0.35">
      <c r="A168">
        <v>2024</v>
      </c>
      <c r="B168" s="1" t="s">
        <v>19</v>
      </c>
      <c r="C168" s="1" t="s">
        <v>518</v>
      </c>
      <c r="D168" s="1" t="s">
        <v>993</v>
      </c>
      <c r="E168" s="1" t="s">
        <v>21</v>
      </c>
      <c r="F168" s="1" t="s">
        <v>106</v>
      </c>
      <c r="G168" s="1" t="s">
        <v>67</v>
      </c>
      <c r="H168" s="1" t="s">
        <v>53</v>
      </c>
      <c r="I168" s="1" t="s">
        <v>994</v>
      </c>
      <c r="J168">
        <v>1387211</v>
      </c>
      <c r="K168">
        <v>1381622</v>
      </c>
      <c r="L168">
        <v>575</v>
      </c>
      <c r="M168" s="9">
        <v>4.1617750730999999E-4</v>
      </c>
      <c r="N168">
        <v>432078</v>
      </c>
      <c r="O168" s="9">
        <v>0.31273242609000002</v>
      </c>
      <c r="P168">
        <v>471217</v>
      </c>
      <c r="Q168" s="9">
        <v>0.34106072428</v>
      </c>
      <c r="R168">
        <f>Telengana_Results_2024[[#This Row],[BJP votes]]-Telengana_Results_2024[[#This Row],[Max Votes Other Than BJP]]</f>
        <v>39139</v>
      </c>
      <c r="S168" s="10">
        <f>Telengana_Results_2024[[#This Row],[BJP vote share]]-Telengana_Results_2024[[#This Row],[Max Vote share other than bjp ]]</f>
        <v>2.832829818999999E-2</v>
      </c>
      <c r="T168">
        <v>1828717</v>
      </c>
      <c r="U168" s="8">
        <v>0.75857062629000005</v>
      </c>
      <c r="V168" s="1" t="s">
        <v>26</v>
      </c>
    </row>
    <row r="169" spans="1:22" x14ac:dyDescent="0.35">
      <c r="A169">
        <v>2024</v>
      </c>
      <c r="B169" s="1" t="s">
        <v>19</v>
      </c>
      <c r="C169" s="1" t="s">
        <v>518</v>
      </c>
      <c r="D169" s="1" t="s">
        <v>995</v>
      </c>
      <c r="E169" s="1" t="s">
        <v>21</v>
      </c>
      <c r="F169" s="1" t="s">
        <v>71</v>
      </c>
      <c r="G169" s="1" t="s">
        <v>67</v>
      </c>
      <c r="H169" s="1" t="s">
        <v>53</v>
      </c>
      <c r="I169" s="1" t="s">
        <v>996</v>
      </c>
      <c r="J169">
        <v>1387211</v>
      </c>
      <c r="K169">
        <v>1381622</v>
      </c>
      <c r="L169">
        <v>559</v>
      </c>
      <c r="M169" s="9">
        <v>4.0459691579999998E-4</v>
      </c>
      <c r="N169">
        <v>432078</v>
      </c>
      <c r="O169" s="9">
        <v>0.31273242609000002</v>
      </c>
      <c r="P169">
        <v>471217</v>
      </c>
      <c r="Q169" s="9">
        <v>0.34106072428</v>
      </c>
      <c r="R169">
        <f>Telengana_Results_2024[[#This Row],[BJP votes]]-Telengana_Results_2024[[#This Row],[Max Votes Other Than BJP]]</f>
        <v>39139</v>
      </c>
      <c r="S169" s="10">
        <f>Telengana_Results_2024[[#This Row],[BJP vote share]]-Telengana_Results_2024[[#This Row],[Max Vote share other than bjp ]]</f>
        <v>2.832829818999999E-2</v>
      </c>
      <c r="T169">
        <v>1828717</v>
      </c>
      <c r="U169" s="8">
        <v>0.75857062629000005</v>
      </c>
      <c r="V169" s="1" t="s">
        <v>26</v>
      </c>
    </row>
    <row r="170" spans="1:22" x14ac:dyDescent="0.35">
      <c r="A170">
        <v>2024</v>
      </c>
      <c r="B170" s="1" t="s">
        <v>19</v>
      </c>
      <c r="C170" s="1" t="s">
        <v>518</v>
      </c>
      <c r="D170" s="1" t="s">
        <v>997</v>
      </c>
      <c r="E170" s="1" t="s">
        <v>21</v>
      </c>
      <c r="F170" s="1" t="s">
        <v>48</v>
      </c>
      <c r="G170" s="1" t="s">
        <v>112</v>
      </c>
      <c r="H170" s="1" t="s">
        <v>53</v>
      </c>
      <c r="I170" s="1" t="s">
        <v>998</v>
      </c>
      <c r="J170">
        <v>1387211</v>
      </c>
      <c r="K170">
        <v>1381622</v>
      </c>
      <c r="L170">
        <v>531</v>
      </c>
      <c r="M170" s="9">
        <v>3.8433088066E-4</v>
      </c>
      <c r="N170">
        <v>432078</v>
      </c>
      <c r="O170" s="9">
        <v>0.31273242609000002</v>
      </c>
      <c r="P170">
        <v>471217</v>
      </c>
      <c r="Q170" s="9">
        <v>0.34106072428</v>
      </c>
      <c r="R170">
        <f>Telengana_Results_2024[[#This Row],[BJP votes]]-Telengana_Results_2024[[#This Row],[Max Votes Other Than BJP]]</f>
        <v>39139</v>
      </c>
      <c r="S170" s="10">
        <f>Telengana_Results_2024[[#This Row],[BJP vote share]]-Telengana_Results_2024[[#This Row],[Max Vote share other than bjp ]]</f>
        <v>2.832829818999999E-2</v>
      </c>
      <c r="T170">
        <v>1828717</v>
      </c>
      <c r="U170" s="8">
        <v>0.75857062629000005</v>
      </c>
      <c r="V170" s="1" t="s">
        <v>26</v>
      </c>
    </row>
    <row r="171" spans="1:22" x14ac:dyDescent="0.35">
      <c r="A171">
        <v>2024</v>
      </c>
      <c r="B171" s="1" t="s">
        <v>19</v>
      </c>
      <c r="C171" s="1" t="s">
        <v>518</v>
      </c>
      <c r="D171" s="1" t="s">
        <v>999</v>
      </c>
      <c r="E171" s="1" t="s">
        <v>21</v>
      </c>
      <c r="F171" s="1" t="s">
        <v>205</v>
      </c>
      <c r="G171" s="1" t="s">
        <v>112</v>
      </c>
      <c r="H171" s="1" t="s">
        <v>53</v>
      </c>
      <c r="I171" s="1" t="s">
        <v>865</v>
      </c>
      <c r="J171">
        <v>1387211</v>
      </c>
      <c r="K171">
        <v>1381622</v>
      </c>
      <c r="L171">
        <v>509</v>
      </c>
      <c r="M171" s="9">
        <v>3.6840756734000002E-4</v>
      </c>
      <c r="N171">
        <v>432078</v>
      </c>
      <c r="O171" s="9">
        <v>0.31273242609000002</v>
      </c>
      <c r="P171">
        <v>471217</v>
      </c>
      <c r="Q171" s="9">
        <v>0.34106072428</v>
      </c>
      <c r="R171">
        <f>Telengana_Results_2024[[#This Row],[BJP votes]]-Telengana_Results_2024[[#This Row],[Max Votes Other Than BJP]]</f>
        <v>39139</v>
      </c>
      <c r="S171" s="10">
        <f>Telengana_Results_2024[[#This Row],[BJP vote share]]-Telengana_Results_2024[[#This Row],[Max Vote share other than bjp ]]</f>
        <v>2.832829818999999E-2</v>
      </c>
      <c r="T171">
        <v>1828717</v>
      </c>
      <c r="U171" s="8">
        <v>0.75857062629000005</v>
      </c>
      <c r="V171" s="1" t="s">
        <v>26</v>
      </c>
    </row>
    <row r="172" spans="1:22" x14ac:dyDescent="0.35">
      <c r="A172">
        <v>2024</v>
      </c>
      <c r="B172" s="1" t="s">
        <v>19</v>
      </c>
      <c r="C172" s="1" t="s">
        <v>518</v>
      </c>
      <c r="D172" s="1" t="s">
        <v>1000</v>
      </c>
      <c r="E172" s="1" t="s">
        <v>21</v>
      </c>
      <c r="F172" s="1" t="s">
        <v>59</v>
      </c>
      <c r="G172" s="1" t="s">
        <v>67</v>
      </c>
      <c r="H172" s="1" t="s">
        <v>1001</v>
      </c>
      <c r="I172" s="1" t="s">
        <v>60</v>
      </c>
      <c r="J172">
        <v>1387211</v>
      </c>
      <c r="K172">
        <v>1381622</v>
      </c>
      <c r="L172">
        <v>494</v>
      </c>
      <c r="M172" s="9">
        <v>3.5755076280000002E-4</v>
      </c>
      <c r="N172">
        <v>432078</v>
      </c>
      <c r="O172" s="9">
        <v>0.31273242609000002</v>
      </c>
      <c r="P172">
        <v>471217</v>
      </c>
      <c r="Q172" s="9">
        <v>0.34106072428</v>
      </c>
      <c r="R172">
        <f>Telengana_Results_2024[[#This Row],[BJP votes]]-Telengana_Results_2024[[#This Row],[Max Votes Other Than BJP]]</f>
        <v>39139</v>
      </c>
      <c r="S172" s="10">
        <f>Telengana_Results_2024[[#This Row],[BJP vote share]]-Telengana_Results_2024[[#This Row],[Max Vote share other than bjp ]]</f>
        <v>2.832829818999999E-2</v>
      </c>
      <c r="T172">
        <v>1828717</v>
      </c>
      <c r="U172" s="8">
        <v>0.75857062629000005</v>
      </c>
      <c r="V172" s="1" t="s">
        <v>26</v>
      </c>
    </row>
    <row r="173" spans="1:22" x14ac:dyDescent="0.35">
      <c r="A173">
        <v>2024</v>
      </c>
      <c r="B173" s="1" t="s">
        <v>19</v>
      </c>
      <c r="C173" s="1" t="s">
        <v>518</v>
      </c>
      <c r="D173" s="1" t="s">
        <v>1002</v>
      </c>
      <c r="E173" s="1" t="s">
        <v>21</v>
      </c>
      <c r="F173" s="1" t="s">
        <v>559</v>
      </c>
      <c r="G173" s="1" t="s">
        <v>112</v>
      </c>
      <c r="H173" s="1" t="s">
        <v>53</v>
      </c>
      <c r="I173" s="1" t="s">
        <v>1003</v>
      </c>
      <c r="J173">
        <v>1387211</v>
      </c>
      <c r="K173">
        <v>1381622</v>
      </c>
      <c r="L173">
        <v>431</v>
      </c>
      <c r="M173" s="9">
        <v>3.1195218373999999E-4</v>
      </c>
      <c r="N173">
        <v>432078</v>
      </c>
      <c r="O173" s="9">
        <v>0.31273242609000002</v>
      </c>
      <c r="P173">
        <v>471217</v>
      </c>
      <c r="Q173" s="9">
        <v>0.34106072428</v>
      </c>
      <c r="R173">
        <f>Telengana_Results_2024[[#This Row],[BJP votes]]-Telengana_Results_2024[[#This Row],[Max Votes Other Than BJP]]</f>
        <v>39139</v>
      </c>
      <c r="S173" s="10">
        <f>Telengana_Results_2024[[#This Row],[BJP vote share]]-Telengana_Results_2024[[#This Row],[Max Vote share other than bjp ]]</f>
        <v>2.832829818999999E-2</v>
      </c>
      <c r="T173">
        <v>1828717</v>
      </c>
      <c r="U173" s="8">
        <v>0.75857062629000005</v>
      </c>
      <c r="V173" s="1" t="s">
        <v>26</v>
      </c>
    </row>
    <row r="174" spans="1:22" x14ac:dyDescent="0.35">
      <c r="A174">
        <v>2024</v>
      </c>
      <c r="B174" s="1" t="s">
        <v>19</v>
      </c>
      <c r="C174" s="1" t="s">
        <v>518</v>
      </c>
      <c r="D174" s="1" t="s">
        <v>1004</v>
      </c>
      <c r="E174" s="1" t="s">
        <v>21</v>
      </c>
      <c r="F174" s="1" t="s">
        <v>22</v>
      </c>
      <c r="G174" s="1" t="s">
        <v>112</v>
      </c>
      <c r="H174" s="1" t="s">
        <v>53</v>
      </c>
      <c r="I174" s="1" t="s">
        <v>54</v>
      </c>
      <c r="J174">
        <v>1387211</v>
      </c>
      <c r="K174">
        <v>1381622</v>
      </c>
      <c r="L174">
        <v>416</v>
      </c>
      <c r="M174" s="9">
        <v>3.0109537919999999E-4</v>
      </c>
      <c r="N174">
        <v>432078</v>
      </c>
      <c r="O174" s="9">
        <v>0.31273242609000002</v>
      </c>
      <c r="P174">
        <v>471217</v>
      </c>
      <c r="Q174" s="9">
        <v>0.34106072428</v>
      </c>
      <c r="R174">
        <f>Telengana_Results_2024[[#This Row],[BJP votes]]-Telengana_Results_2024[[#This Row],[Max Votes Other Than BJP]]</f>
        <v>39139</v>
      </c>
      <c r="S174" s="10">
        <f>Telengana_Results_2024[[#This Row],[BJP vote share]]-Telengana_Results_2024[[#This Row],[Max Vote share other than bjp ]]</f>
        <v>2.832829818999999E-2</v>
      </c>
      <c r="T174">
        <v>1828717</v>
      </c>
      <c r="U174" s="8">
        <v>0.75857062629000005</v>
      </c>
      <c r="V174" s="1" t="s">
        <v>26</v>
      </c>
    </row>
    <row r="175" spans="1:22" x14ac:dyDescent="0.35">
      <c r="A175">
        <v>2024</v>
      </c>
      <c r="B175" s="1" t="s">
        <v>19</v>
      </c>
      <c r="C175" s="1" t="s">
        <v>518</v>
      </c>
      <c r="D175" s="1" t="s">
        <v>1005</v>
      </c>
      <c r="E175" s="1" t="s">
        <v>21</v>
      </c>
      <c r="F175" s="1" t="s">
        <v>36</v>
      </c>
      <c r="G175" s="1" t="s">
        <v>112</v>
      </c>
      <c r="H175" s="1" t="s">
        <v>53</v>
      </c>
      <c r="I175" s="1" t="s">
        <v>851</v>
      </c>
      <c r="J175">
        <v>1387211</v>
      </c>
      <c r="K175">
        <v>1381622</v>
      </c>
      <c r="L175">
        <v>348</v>
      </c>
      <c r="M175" s="9">
        <v>2.5187786528999999E-4</v>
      </c>
      <c r="N175">
        <v>432078</v>
      </c>
      <c r="O175" s="9">
        <v>0.31273242609000002</v>
      </c>
      <c r="P175">
        <v>471217</v>
      </c>
      <c r="Q175" s="9">
        <v>0.34106072428</v>
      </c>
      <c r="R175">
        <f>Telengana_Results_2024[[#This Row],[BJP votes]]-Telengana_Results_2024[[#This Row],[Max Votes Other Than BJP]]</f>
        <v>39139</v>
      </c>
      <c r="S175" s="10">
        <f>Telengana_Results_2024[[#This Row],[BJP vote share]]-Telengana_Results_2024[[#This Row],[Max Vote share other than bjp ]]</f>
        <v>2.832829818999999E-2</v>
      </c>
      <c r="T175">
        <v>1828717</v>
      </c>
      <c r="U175" s="8">
        <v>0.75857062629000005</v>
      </c>
      <c r="V175" s="1" t="s">
        <v>26</v>
      </c>
    </row>
    <row r="176" spans="1:22" x14ac:dyDescent="0.35">
      <c r="A176">
        <v>2024</v>
      </c>
      <c r="B176" s="1" t="s">
        <v>19</v>
      </c>
      <c r="C176" s="1" t="s">
        <v>518</v>
      </c>
      <c r="D176" s="1" t="s">
        <v>1006</v>
      </c>
      <c r="E176" s="1" t="s">
        <v>21</v>
      </c>
      <c r="F176" s="1" t="s">
        <v>155</v>
      </c>
      <c r="G176" s="1" t="s">
        <v>112</v>
      </c>
      <c r="H176" s="1" t="s">
        <v>53</v>
      </c>
      <c r="I176" s="1" t="s">
        <v>1007</v>
      </c>
      <c r="J176">
        <v>1387211</v>
      </c>
      <c r="K176">
        <v>1381622</v>
      </c>
      <c r="L176">
        <v>344</v>
      </c>
      <c r="M176" s="9">
        <v>2.4898271741000003E-4</v>
      </c>
      <c r="N176">
        <v>432078</v>
      </c>
      <c r="O176" s="9">
        <v>0.31273242609000002</v>
      </c>
      <c r="P176">
        <v>471217</v>
      </c>
      <c r="Q176" s="9">
        <v>0.34106072428</v>
      </c>
      <c r="R176">
        <f>Telengana_Results_2024[[#This Row],[BJP votes]]-Telengana_Results_2024[[#This Row],[Max Votes Other Than BJP]]</f>
        <v>39139</v>
      </c>
      <c r="S176" s="10">
        <f>Telengana_Results_2024[[#This Row],[BJP vote share]]-Telengana_Results_2024[[#This Row],[Max Vote share other than bjp ]]</f>
        <v>2.832829818999999E-2</v>
      </c>
      <c r="T176">
        <v>1828717</v>
      </c>
      <c r="U176" s="8">
        <v>0.75857062629000005</v>
      </c>
      <c r="V176" s="1" t="s">
        <v>26</v>
      </c>
    </row>
    <row r="177" spans="1:22" x14ac:dyDescent="0.35">
      <c r="A177">
        <v>2024</v>
      </c>
      <c r="B177" s="1" t="s">
        <v>19</v>
      </c>
      <c r="C177" s="1" t="s">
        <v>518</v>
      </c>
      <c r="D177" s="1" t="s">
        <v>1008</v>
      </c>
      <c r="E177" s="1" t="s">
        <v>21</v>
      </c>
      <c r="F177" s="1" t="s">
        <v>28</v>
      </c>
      <c r="G177" s="1" t="s">
        <v>112</v>
      </c>
      <c r="H177" s="1" t="s">
        <v>53</v>
      </c>
      <c r="I177" s="1" t="s">
        <v>479</v>
      </c>
      <c r="J177">
        <v>1387211</v>
      </c>
      <c r="K177">
        <v>1381622</v>
      </c>
      <c r="L177">
        <v>317</v>
      </c>
      <c r="M177" s="9">
        <v>2.2944046924999999E-4</v>
      </c>
      <c r="N177">
        <v>432078</v>
      </c>
      <c r="O177" s="9">
        <v>0.31273242609000002</v>
      </c>
      <c r="P177">
        <v>471217</v>
      </c>
      <c r="Q177" s="9">
        <v>0.34106072428</v>
      </c>
      <c r="R177">
        <f>Telengana_Results_2024[[#This Row],[BJP votes]]-Telengana_Results_2024[[#This Row],[Max Votes Other Than BJP]]</f>
        <v>39139</v>
      </c>
      <c r="S177" s="10">
        <f>Telengana_Results_2024[[#This Row],[BJP vote share]]-Telengana_Results_2024[[#This Row],[Max Vote share other than bjp ]]</f>
        <v>2.832829818999999E-2</v>
      </c>
      <c r="T177">
        <v>1828717</v>
      </c>
      <c r="U177" s="8">
        <v>0.75857062629000005</v>
      </c>
      <c r="V177" s="1" t="s">
        <v>26</v>
      </c>
    </row>
    <row r="178" spans="1:22" x14ac:dyDescent="0.35">
      <c r="A178">
        <v>2024</v>
      </c>
      <c r="B178" s="1" t="s">
        <v>19</v>
      </c>
      <c r="C178" s="1" t="s">
        <v>518</v>
      </c>
      <c r="D178" s="1" t="s">
        <v>1009</v>
      </c>
      <c r="E178" s="1" t="s">
        <v>21</v>
      </c>
      <c r="F178" s="1" t="s">
        <v>183</v>
      </c>
      <c r="G178" s="1" t="s">
        <v>112</v>
      </c>
      <c r="H178" s="1" t="s">
        <v>53</v>
      </c>
      <c r="I178" s="1" t="s">
        <v>329</v>
      </c>
      <c r="J178">
        <v>1387211</v>
      </c>
      <c r="K178">
        <v>1381622</v>
      </c>
      <c r="L178">
        <v>293</v>
      </c>
      <c r="M178" s="9">
        <v>2.1206958198E-4</v>
      </c>
      <c r="N178">
        <v>432078</v>
      </c>
      <c r="O178" s="9">
        <v>0.31273242609000002</v>
      </c>
      <c r="P178">
        <v>471217</v>
      </c>
      <c r="Q178" s="9">
        <v>0.34106072428</v>
      </c>
      <c r="R178">
        <f>Telengana_Results_2024[[#This Row],[BJP votes]]-Telengana_Results_2024[[#This Row],[Max Votes Other Than BJP]]</f>
        <v>39139</v>
      </c>
      <c r="S178" s="10">
        <f>Telengana_Results_2024[[#This Row],[BJP vote share]]-Telengana_Results_2024[[#This Row],[Max Vote share other than bjp ]]</f>
        <v>2.832829818999999E-2</v>
      </c>
      <c r="T178">
        <v>1828717</v>
      </c>
      <c r="U178" s="8">
        <v>0.75857062629000005</v>
      </c>
      <c r="V178" s="1" t="s">
        <v>26</v>
      </c>
    </row>
    <row r="179" spans="1:22" x14ac:dyDescent="0.35">
      <c r="A179">
        <v>2024</v>
      </c>
      <c r="B179" s="1" t="s">
        <v>19</v>
      </c>
      <c r="C179" s="1" t="s">
        <v>518</v>
      </c>
      <c r="D179" s="1" t="s">
        <v>1010</v>
      </c>
      <c r="E179" s="1" t="s">
        <v>21</v>
      </c>
      <c r="F179" s="1" t="s">
        <v>205</v>
      </c>
      <c r="G179" s="1" t="s">
        <v>112</v>
      </c>
      <c r="H179" s="1" t="s">
        <v>53</v>
      </c>
      <c r="I179" s="1" t="s">
        <v>457</v>
      </c>
      <c r="J179">
        <v>1387211</v>
      </c>
      <c r="K179">
        <v>1381622</v>
      </c>
      <c r="L179">
        <v>290</v>
      </c>
      <c r="M179" s="9">
        <v>2.0989822108000001E-4</v>
      </c>
      <c r="N179">
        <v>432078</v>
      </c>
      <c r="O179" s="9">
        <v>0.31273242609000002</v>
      </c>
      <c r="P179">
        <v>471217</v>
      </c>
      <c r="Q179" s="9">
        <v>0.34106072428</v>
      </c>
      <c r="R179">
        <f>Telengana_Results_2024[[#This Row],[BJP votes]]-Telengana_Results_2024[[#This Row],[Max Votes Other Than BJP]]</f>
        <v>39139</v>
      </c>
      <c r="S179" s="10">
        <f>Telengana_Results_2024[[#This Row],[BJP vote share]]-Telengana_Results_2024[[#This Row],[Max Vote share other than bjp ]]</f>
        <v>2.832829818999999E-2</v>
      </c>
      <c r="T179">
        <v>1828717</v>
      </c>
      <c r="U179" s="8">
        <v>0.75857062629000005</v>
      </c>
      <c r="V179" s="1" t="s">
        <v>26</v>
      </c>
    </row>
    <row r="180" spans="1:22" x14ac:dyDescent="0.35">
      <c r="A180">
        <v>2024</v>
      </c>
      <c r="B180" s="1" t="s">
        <v>19</v>
      </c>
      <c r="C180" s="1" t="s">
        <v>518</v>
      </c>
      <c r="D180" s="1" t="s">
        <v>1011</v>
      </c>
      <c r="E180" s="1" t="s">
        <v>21</v>
      </c>
      <c r="F180" s="1" t="s">
        <v>117</v>
      </c>
      <c r="G180" s="1" t="s">
        <v>112</v>
      </c>
      <c r="H180" s="1" t="s">
        <v>53</v>
      </c>
      <c r="I180" s="1" t="s">
        <v>1012</v>
      </c>
      <c r="J180">
        <v>1387211</v>
      </c>
      <c r="K180">
        <v>1381622</v>
      </c>
      <c r="L180">
        <v>248</v>
      </c>
      <c r="M180" s="9">
        <v>1.7949916837E-4</v>
      </c>
      <c r="N180">
        <v>432078</v>
      </c>
      <c r="O180" s="9">
        <v>0.31273242609000002</v>
      </c>
      <c r="P180">
        <v>471217</v>
      </c>
      <c r="Q180" s="9">
        <v>0.34106072428</v>
      </c>
      <c r="R180">
        <f>Telengana_Results_2024[[#This Row],[BJP votes]]-Telengana_Results_2024[[#This Row],[Max Votes Other Than BJP]]</f>
        <v>39139</v>
      </c>
      <c r="S180" s="10">
        <f>Telengana_Results_2024[[#This Row],[BJP vote share]]-Telengana_Results_2024[[#This Row],[Max Vote share other than bjp ]]</f>
        <v>2.832829818999999E-2</v>
      </c>
      <c r="T180">
        <v>1828717</v>
      </c>
      <c r="U180" s="8">
        <v>0.75857062629000005</v>
      </c>
      <c r="V180" s="1" t="s">
        <v>26</v>
      </c>
    </row>
    <row r="181" spans="1:22" x14ac:dyDescent="0.35">
      <c r="A181">
        <v>2024</v>
      </c>
      <c r="B181" s="1" t="s">
        <v>19</v>
      </c>
      <c r="C181" s="1" t="s">
        <v>518</v>
      </c>
      <c r="D181" s="1" t="s">
        <v>1013</v>
      </c>
      <c r="E181" s="1" t="s">
        <v>21</v>
      </c>
      <c r="F181" s="1" t="s">
        <v>95</v>
      </c>
      <c r="G181" s="1" t="s">
        <v>112</v>
      </c>
      <c r="H181" s="1" t="s">
        <v>53</v>
      </c>
      <c r="I181" s="1" t="s">
        <v>828</v>
      </c>
      <c r="J181">
        <v>1387211</v>
      </c>
      <c r="K181">
        <v>1381622</v>
      </c>
      <c r="L181">
        <v>224</v>
      </c>
      <c r="M181" s="9">
        <v>1.6212828110999999E-4</v>
      </c>
      <c r="N181">
        <v>432078</v>
      </c>
      <c r="O181" s="9">
        <v>0.31273242609000002</v>
      </c>
      <c r="P181">
        <v>471217</v>
      </c>
      <c r="Q181" s="9">
        <v>0.34106072428</v>
      </c>
      <c r="R181">
        <f>Telengana_Results_2024[[#This Row],[BJP votes]]-Telengana_Results_2024[[#This Row],[Max Votes Other Than BJP]]</f>
        <v>39139</v>
      </c>
      <c r="S181" s="10">
        <f>Telengana_Results_2024[[#This Row],[BJP vote share]]-Telengana_Results_2024[[#This Row],[Max Vote share other than bjp ]]</f>
        <v>2.832829818999999E-2</v>
      </c>
      <c r="T181">
        <v>1828717</v>
      </c>
      <c r="U181" s="8">
        <v>0.75857062629000005</v>
      </c>
      <c r="V181" s="1" t="s">
        <v>26</v>
      </c>
    </row>
    <row r="182" spans="1:22" x14ac:dyDescent="0.35">
      <c r="A182">
        <v>2024</v>
      </c>
      <c r="B182" s="1" t="s">
        <v>19</v>
      </c>
      <c r="C182" s="1" t="s">
        <v>531</v>
      </c>
      <c r="D182" s="1" t="s">
        <v>1014</v>
      </c>
      <c r="E182" s="1" t="s">
        <v>21</v>
      </c>
      <c r="F182" s="1" t="s">
        <v>66</v>
      </c>
      <c r="G182" s="1" t="s">
        <v>112</v>
      </c>
      <c r="H182" s="1" t="s">
        <v>32</v>
      </c>
      <c r="I182" s="1" t="s">
        <v>33</v>
      </c>
      <c r="J182">
        <v>1938462</v>
      </c>
      <c r="K182">
        <v>1920477</v>
      </c>
      <c r="L182">
        <v>991042</v>
      </c>
      <c r="M182" s="9">
        <v>0.51603950477000005</v>
      </c>
      <c r="N182">
        <v>599567</v>
      </c>
      <c r="O182" s="9">
        <v>0.31219691774000002</v>
      </c>
      <c r="P182">
        <v>991042</v>
      </c>
      <c r="Q182" s="9">
        <v>0.51603950477000005</v>
      </c>
      <c r="R182">
        <f>Telengana_Results_2024[[#This Row],[BJP votes]]-Telengana_Results_2024[[#This Row],[Max Votes Other Than BJP]]</f>
        <v>391475</v>
      </c>
      <c r="S182" s="10">
        <f>Telengana_Results_2024[[#This Row],[BJP vote share]]-Telengana_Results_2024[[#This Row],[Max Vote share other than bjp ]]</f>
        <v>0.20384258703000002</v>
      </c>
      <c r="T182">
        <v>3780453</v>
      </c>
      <c r="U182" s="8">
        <v>0.51275918520999997</v>
      </c>
      <c r="V182" s="1" t="s">
        <v>26</v>
      </c>
    </row>
    <row r="183" spans="1:22" x14ac:dyDescent="0.35">
      <c r="A183">
        <v>2024</v>
      </c>
      <c r="B183" s="1" t="s">
        <v>19</v>
      </c>
      <c r="C183" s="1" t="s">
        <v>531</v>
      </c>
      <c r="D183" s="1" t="s">
        <v>1015</v>
      </c>
      <c r="E183" s="1" t="s">
        <v>35</v>
      </c>
      <c r="F183" s="1" t="s">
        <v>62</v>
      </c>
      <c r="G183" s="1" t="s">
        <v>112</v>
      </c>
      <c r="H183" s="1" t="s">
        <v>29</v>
      </c>
      <c r="I183" s="1" t="s">
        <v>30</v>
      </c>
      <c r="J183">
        <v>1938462</v>
      </c>
      <c r="K183">
        <v>1920477</v>
      </c>
      <c r="L183">
        <v>599567</v>
      </c>
      <c r="M183" s="9">
        <v>0.31219691774000002</v>
      </c>
      <c r="N183">
        <v>599567</v>
      </c>
      <c r="O183" s="9">
        <v>0.31219691774000002</v>
      </c>
      <c r="P183">
        <v>991042</v>
      </c>
      <c r="Q183" s="9">
        <v>0.51603950477000005</v>
      </c>
      <c r="R183">
        <f>Telengana_Results_2024[[#This Row],[BJP votes]]-Telengana_Results_2024[[#This Row],[Max Votes Other Than BJP]]</f>
        <v>391475</v>
      </c>
      <c r="S183" s="10">
        <f>Telengana_Results_2024[[#This Row],[BJP vote share]]-Telengana_Results_2024[[#This Row],[Max Vote share other than bjp ]]</f>
        <v>0.20384258703000002</v>
      </c>
      <c r="T183">
        <v>3780453</v>
      </c>
      <c r="U183" s="8">
        <v>0.51275918520999997</v>
      </c>
      <c r="V183" s="1" t="s">
        <v>26</v>
      </c>
    </row>
    <row r="184" spans="1:22" x14ac:dyDescent="0.35">
      <c r="A184">
        <v>2024</v>
      </c>
      <c r="B184" s="1" t="s">
        <v>19</v>
      </c>
      <c r="C184" s="1" t="s">
        <v>531</v>
      </c>
      <c r="D184" s="1" t="s">
        <v>1016</v>
      </c>
      <c r="E184" s="1" t="s">
        <v>21</v>
      </c>
      <c r="F184" s="1" t="s">
        <v>66</v>
      </c>
      <c r="G184" s="1" t="s">
        <v>112</v>
      </c>
      <c r="H184" s="1" t="s">
        <v>785</v>
      </c>
      <c r="I184" s="1" t="s">
        <v>25</v>
      </c>
      <c r="J184">
        <v>1938462</v>
      </c>
      <c r="K184">
        <v>1920477</v>
      </c>
      <c r="L184">
        <v>300486</v>
      </c>
      <c r="M184" s="9">
        <v>0.15646425341</v>
      </c>
      <c r="N184">
        <v>599567</v>
      </c>
      <c r="O184" s="9">
        <v>0.31219691774000002</v>
      </c>
      <c r="P184">
        <v>991042</v>
      </c>
      <c r="Q184" s="9">
        <v>0.51603950477000005</v>
      </c>
      <c r="R184">
        <f>Telengana_Results_2024[[#This Row],[BJP votes]]-Telengana_Results_2024[[#This Row],[Max Votes Other Than BJP]]</f>
        <v>391475</v>
      </c>
      <c r="S184" s="10">
        <f>Telengana_Results_2024[[#This Row],[BJP vote share]]-Telengana_Results_2024[[#This Row],[Max Vote share other than bjp ]]</f>
        <v>0.20384258703000002</v>
      </c>
      <c r="T184">
        <v>3780453</v>
      </c>
      <c r="U184" s="8">
        <v>0.51275918520999997</v>
      </c>
      <c r="V184" s="1" t="s">
        <v>26</v>
      </c>
    </row>
    <row r="185" spans="1:22" x14ac:dyDescent="0.35">
      <c r="A185">
        <v>2024</v>
      </c>
      <c r="B185" s="1" t="s">
        <v>19</v>
      </c>
      <c r="C185" s="1" t="s">
        <v>531</v>
      </c>
      <c r="D185" s="1" t="s">
        <v>64</v>
      </c>
      <c r="E185" s="1" t="s">
        <v>64</v>
      </c>
      <c r="F185" s="1" t="s">
        <v>64</v>
      </c>
      <c r="G185" s="1" t="s">
        <v>64</v>
      </c>
      <c r="H185" s="1" t="s">
        <v>64</v>
      </c>
      <c r="I185" s="1" t="s">
        <v>64</v>
      </c>
      <c r="J185">
        <v>1938462</v>
      </c>
      <c r="K185">
        <v>1920477</v>
      </c>
      <c r="L185">
        <v>13366</v>
      </c>
      <c r="M185" s="9">
        <v>6.9597292755999999E-3</v>
      </c>
      <c r="N185">
        <v>599567</v>
      </c>
      <c r="O185" s="9">
        <v>0.31219691774000002</v>
      </c>
      <c r="P185">
        <v>991042</v>
      </c>
      <c r="Q185" s="9">
        <v>0.51603950477000005</v>
      </c>
      <c r="R185">
        <f>Telengana_Results_2024[[#This Row],[BJP votes]]-Telengana_Results_2024[[#This Row],[Max Votes Other Than BJP]]</f>
        <v>391475</v>
      </c>
      <c r="S185" s="10">
        <f>Telengana_Results_2024[[#This Row],[BJP vote share]]-Telengana_Results_2024[[#This Row],[Max Vote share other than bjp ]]</f>
        <v>0.20384258703000002</v>
      </c>
      <c r="T185">
        <v>3780453</v>
      </c>
      <c r="U185" s="8">
        <v>0.51275918520999997</v>
      </c>
      <c r="V185" s="1" t="s">
        <v>26</v>
      </c>
    </row>
    <row r="186" spans="1:22" x14ac:dyDescent="0.35">
      <c r="A186">
        <v>2024</v>
      </c>
      <c r="B186" s="1" t="s">
        <v>19</v>
      </c>
      <c r="C186" s="1" t="s">
        <v>531</v>
      </c>
      <c r="D186" s="1" t="s">
        <v>1017</v>
      </c>
      <c r="E186" s="1" t="s">
        <v>21</v>
      </c>
      <c r="F186" s="1" t="s">
        <v>22</v>
      </c>
      <c r="G186" s="1" t="s">
        <v>112</v>
      </c>
      <c r="H186" s="1" t="s">
        <v>53</v>
      </c>
      <c r="I186" s="1" t="s">
        <v>788</v>
      </c>
      <c r="J186">
        <v>1938462</v>
      </c>
      <c r="K186">
        <v>1920477</v>
      </c>
      <c r="L186">
        <v>6800</v>
      </c>
      <c r="M186" s="9">
        <v>3.5407870024E-3</v>
      </c>
      <c r="N186">
        <v>599567</v>
      </c>
      <c r="O186" s="9">
        <v>0.31219691774000002</v>
      </c>
      <c r="P186">
        <v>991042</v>
      </c>
      <c r="Q186" s="9">
        <v>0.51603950477000005</v>
      </c>
      <c r="R186">
        <f>Telengana_Results_2024[[#This Row],[BJP votes]]-Telengana_Results_2024[[#This Row],[Max Votes Other Than BJP]]</f>
        <v>391475</v>
      </c>
      <c r="S186" s="10">
        <f>Telengana_Results_2024[[#This Row],[BJP vote share]]-Telengana_Results_2024[[#This Row],[Max Vote share other than bjp ]]</f>
        <v>0.20384258703000002</v>
      </c>
      <c r="T186">
        <v>3780453</v>
      </c>
      <c r="U186" s="8">
        <v>0.51275918520999997</v>
      </c>
      <c r="V186" s="1" t="s">
        <v>26</v>
      </c>
    </row>
    <row r="187" spans="1:22" x14ac:dyDescent="0.35">
      <c r="A187">
        <v>2024</v>
      </c>
      <c r="B187" s="1" t="s">
        <v>19</v>
      </c>
      <c r="C187" s="1" t="s">
        <v>531</v>
      </c>
      <c r="D187" s="1" t="s">
        <v>1018</v>
      </c>
      <c r="E187" s="1" t="s">
        <v>35</v>
      </c>
      <c r="F187" s="1" t="s">
        <v>120</v>
      </c>
      <c r="G187" s="1" t="s">
        <v>112</v>
      </c>
      <c r="H187" s="1" t="s">
        <v>72</v>
      </c>
      <c r="I187" s="1" t="s">
        <v>73</v>
      </c>
      <c r="J187">
        <v>1938462</v>
      </c>
      <c r="K187">
        <v>1920477</v>
      </c>
      <c r="L187">
        <v>4779</v>
      </c>
      <c r="M187" s="9">
        <v>2.4884442770999999E-3</v>
      </c>
      <c r="N187">
        <v>599567</v>
      </c>
      <c r="O187" s="9">
        <v>0.31219691774000002</v>
      </c>
      <c r="P187">
        <v>991042</v>
      </c>
      <c r="Q187" s="9">
        <v>0.51603950477000005</v>
      </c>
      <c r="R187">
        <f>Telengana_Results_2024[[#This Row],[BJP votes]]-Telengana_Results_2024[[#This Row],[Max Votes Other Than BJP]]</f>
        <v>391475</v>
      </c>
      <c r="S187" s="10">
        <f>Telengana_Results_2024[[#This Row],[BJP vote share]]-Telengana_Results_2024[[#This Row],[Max Vote share other than bjp ]]</f>
        <v>0.20384258703000002</v>
      </c>
      <c r="T187">
        <v>3780453</v>
      </c>
      <c r="U187" s="8">
        <v>0.51275918520999997</v>
      </c>
      <c r="V187" s="1" t="s">
        <v>26</v>
      </c>
    </row>
    <row r="188" spans="1:22" x14ac:dyDescent="0.35">
      <c r="A188">
        <v>2024</v>
      </c>
      <c r="B188" s="1" t="s">
        <v>19</v>
      </c>
      <c r="C188" s="1" t="s">
        <v>531</v>
      </c>
      <c r="D188" s="1" t="s">
        <v>1019</v>
      </c>
      <c r="E188" s="1" t="s">
        <v>21</v>
      </c>
      <c r="F188" s="1" t="s">
        <v>115</v>
      </c>
      <c r="G188" s="1" t="s">
        <v>112</v>
      </c>
      <c r="H188" s="1" t="s">
        <v>53</v>
      </c>
      <c r="I188" s="1" t="s">
        <v>828</v>
      </c>
      <c r="J188">
        <v>1938462</v>
      </c>
      <c r="K188">
        <v>1920477</v>
      </c>
      <c r="L188">
        <v>1912</v>
      </c>
      <c r="M188" s="9">
        <v>9.9558599243999998E-4</v>
      </c>
      <c r="N188">
        <v>599567</v>
      </c>
      <c r="O188" s="9">
        <v>0.31219691774000002</v>
      </c>
      <c r="P188">
        <v>991042</v>
      </c>
      <c r="Q188" s="9">
        <v>0.51603950477000005</v>
      </c>
      <c r="R188">
        <f>Telengana_Results_2024[[#This Row],[BJP votes]]-Telengana_Results_2024[[#This Row],[Max Votes Other Than BJP]]</f>
        <v>391475</v>
      </c>
      <c r="S188" s="10">
        <f>Telengana_Results_2024[[#This Row],[BJP vote share]]-Telengana_Results_2024[[#This Row],[Max Vote share other than bjp ]]</f>
        <v>0.20384258703000002</v>
      </c>
      <c r="T188">
        <v>3780453</v>
      </c>
      <c r="U188" s="8">
        <v>0.51275918520999997</v>
      </c>
      <c r="V188" s="1" t="s">
        <v>26</v>
      </c>
    </row>
    <row r="189" spans="1:22" x14ac:dyDescent="0.35">
      <c r="A189">
        <v>2024</v>
      </c>
      <c r="B189" s="1" t="s">
        <v>19</v>
      </c>
      <c r="C189" s="1" t="s">
        <v>531</v>
      </c>
      <c r="D189" s="1" t="s">
        <v>1020</v>
      </c>
      <c r="E189" s="1" t="s">
        <v>21</v>
      </c>
      <c r="F189" s="1" t="s">
        <v>44</v>
      </c>
      <c r="G189" s="1" t="s">
        <v>112</v>
      </c>
      <c r="H189" s="1" t="s">
        <v>53</v>
      </c>
      <c r="I189" s="1" t="s">
        <v>457</v>
      </c>
      <c r="J189">
        <v>1938462</v>
      </c>
      <c r="K189">
        <v>1920477</v>
      </c>
      <c r="L189">
        <v>1835</v>
      </c>
      <c r="M189" s="9">
        <v>9.5549178668000005E-4</v>
      </c>
      <c r="N189">
        <v>599567</v>
      </c>
      <c r="O189" s="9">
        <v>0.31219691774000002</v>
      </c>
      <c r="P189">
        <v>991042</v>
      </c>
      <c r="Q189" s="9">
        <v>0.51603950477000005</v>
      </c>
      <c r="R189">
        <f>Telengana_Results_2024[[#This Row],[BJP votes]]-Telengana_Results_2024[[#This Row],[Max Votes Other Than BJP]]</f>
        <v>391475</v>
      </c>
      <c r="S189" s="10">
        <f>Telengana_Results_2024[[#This Row],[BJP vote share]]-Telengana_Results_2024[[#This Row],[Max Vote share other than bjp ]]</f>
        <v>0.20384258703000002</v>
      </c>
      <c r="T189">
        <v>3780453</v>
      </c>
      <c r="U189" s="8">
        <v>0.51275918520999997</v>
      </c>
      <c r="V189" s="1" t="s">
        <v>26</v>
      </c>
    </row>
    <row r="190" spans="1:22" x14ac:dyDescent="0.35">
      <c r="A190">
        <v>2024</v>
      </c>
      <c r="B190" s="1" t="s">
        <v>19</v>
      </c>
      <c r="C190" s="1" t="s">
        <v>531</v>
      </c>
      <c r="D190" s="1" t="s">
        <v>543</v>
      </c>
      <c r="E190" s="1" t="s">
        <v>21</v>
      </c>
      <c r="F190" s="1" t="s">
        <v>234</v>
      </c>
      <c r="G190" s="1" t="s">
        <v>67</v>
      </c>
      <c r="H190" s="1" t="s">
        <v>53</v>
      </c>
      <c r="I190" s="1" t="s">
        <v>796</v>
      </c>
      <c r="J190">
        <v>1938462</v>
      </c>
      <c r="K190">
        <v>1920477</v>
      </c>
      <c r="L190">
        <v>1821</v>
      </c>
      <c r="M190" s="9">
        <v>9.4820193107999996E-4</v>
      </c>
      <c r="N190">
        <v>599567</v>
      </c>
      <c r="O190" s="9">
        <v>0.31219691774000002</v>
      </c>
      <c r="P190">
        <v>991042</v>
      </c>
      <c r="Q190" s="9">
        <v>0.51603950477000005</v>
      </c>
      <c r="R190">
        <f>Telengana_Results_2024[[#This Row],[BJP votes]]-Telengana_Results_2024[[#This Row],[Max Votes Other Than BJP]]</f>
        <v>391475</v>
      </c>
      <c r="S190" s="10">
        <f>Telengana_Results_2024[[#This Row],[BJP vote share]]-Telengana_Results_2024[[#This Row],[Max Vote share other than bjp ]]</f>
        <v>0.20384258703000002</v>
      </c>
      <c r="T190">
        <v>3780453</v>
      </c>
      <c r="U190" s="8">
        <v>0.51275918520999997</v>
      </c>
      <c r="V190" s="1" t="s">
        <v>26</v>
      </c>
    </row>
    <row r="191" spans="1:22" x14ac:dyDescent="0.35">
      <c r="A191">
        <v>2024</v>
      </c>
      <c r="B191" s="1" t="s">
        <v>19</v>
      </c>
      <c r="C191" s="1" t="s">
        <v>531</v>
      </c>
      <c r="D191" s="1" t="s">
        <v>1021</v>
      </c>
      <c r="E191" s="1" t="s">
        <v>21</v>
      </c>
      <c r="F191" s="1" t="s">
        <v>176</v>
      </c>
      <c r="G191" s="1" t="s">
        <v>112</v>
      </c>
      <c r="H191" s="1" t="s">
        <v>53</v>
      </c>
      <c r="I191" s="1" t="s">
        <v>161</v>
      </c>
      <c r="J191">
        <v>1938462</v>
      </c>
      <c r="K191">
        <v>1920477</v>
      </c>
      <c r="L191">
        <v>1643</v>
      </c>
      <c r="M191" s="9">
        <v>8.5551662425999999E-4</v>
      </c>
      <c r="N191">
        <v>599567</v>
      </c>
      <c r="O191" s="9">
        <v>0.31219691774000002</v>
      </c>
      <c r="P191">
        <v>991042</v>
      </c>
      <c r="Q191" s="9">
        <v>0.51603950477000005</v>
      </c>
      <c r="R191">
        <f>Telengana_Results_2024[[#This Row],[BJP votes]]-Telengana_Results_2024[[#This Row],[Max Votes Other Than BJP]]</f>
        <v>391475</v>
      </c>
      <c r="S191" s="10">
        <f>Telengana_Results_2024[[#This Row],[BJP vote share]]-Telengana_Results_2024[[#This Row],[Max Vote share other than bjp ]]</f>
        <v>0.20384258703000002</v>
      </c>
      <c r="T191">
        <v>3780453</v>
      </c>
      <c r="U191" s="8">
        <v>0.51275918520999997</v>
      </c>
      <c r="V191" s="1" t="s">
        <v>26</v>
      </c>
    </row>
    <row r="192" spans="1:22" x14ac:dyDescent="0.35">
      <c r="A192">
        <v>2024</v>
      </c>
      <c r="B192" s="1" t="s">
        <v>19</v>
      </c>
      <c r="C192" s="1" t="s">
        <v>531</v>
      </c>
      <c r="D192" s="1" t="s">
        <v>1022</v>
      </c>
      <c r="E192" s="1" t="s">
        <v>21</v>
      </c>
      <c r="F192" s="1" t="s">
        <v>183</v>
      </c>
      <c r="G192" s="1" t="s">
        <v>112</v>
      </c>
      <c r="H192" s="1" t="s">
        <v>1023</v>
      </c>
      <c r="I192" s="1" t="s">
        <v>897</v>
      </c>
      <c r="J192">
        <v>1938462</v>
      </c>
      <c r="K192">
        <v>1920477</v>
      </c>
      <c r="L192">
        <v>1162</v>
      </c>
      <c r="M192" s="9">
        <v>6.0505801423E-4</v>
      </c>
      <c r="N192">
        <v>599567</v>
      </c>
      <c r="O192" s="9">
        <v>0.31219691774000002</v>
      </c>
      <c r="P192">
        <v>991042</v>
      </c>
      <c r="Q192" s="9">
        <v>0.51603950477000005</v>
      </c>
      <c r="R192">
        <f>Telengana_Results_2024[[#This Row],[BJP votes]]-Telengana_Results_2024[[#This Row],[Max Votes Other Than BJP]]</f>
        <v>391475</v>
      </c>
      <c r="S192" s="10">
        <f>Telengana_Results_2024[[#This Row],[BJP vote share]]-Telengana_Results_2024[[#This Row],[Max Vote share other than bjp ]]</f>
        <v>0.20384258703000002</v>
      </c>
      <c r="T192">
        <v>3780453</v>
      </c>
      <c r="U192" s="8">
        <v>0.51275918520999997</v>
      </c>
      <c r="V192" s="1" t="s">
        <v>26</v>
      </c>
    </row>
    <row r="193" spans="1:22" x14ac:dyDescent="0.35">
      <c r="A193">
        <v>2024</v>
      </c>
      <c r="B193" s="1" t="s">
        <v>19</v>
      </c>
      <c r="C193" s="1" t="s">
        <v>531</v>
      </c>
      <c r="D193" s="1" t="s">
        <v>1024</v>
      </c>
      <c r="E193" s="1" t="s">
        <v>21</v>
      </c>
      <c r="F193" s="1" t="s">
        <v>80</v>
      </c>
      <c r="G193" s="1" t="s">
        <v>112</v>
      </c>
      <c r="H193" s="1" t="s">
        <v>53</v>
      </c>
      <c r="I193" s="1" t="s">
        <v>826</v>
      </c>
      <c r="J193">
        <v>1938462</v>
      </c>
      <c r="K193">
        <v>1920477</v>
      </c>
      <c r="L193">
        <v>1137</v>
      </c>
      <c r="M193" s="9">
        <v>5.9204041496000001E-4</v>
      </c>
      <c r="N193">
        <v>599567</v>
      </c>
      <c r="O193" s="9">
        <v>0.31219691774000002</v>
      </c>
      <c r="P193">
        <v>991042</v>
      </c>
      <c r="Q193" s="9">
        <v>0.51603950477000005</v>
      </c>
      <c r="R193">
        <f>Telengana_Results_2024[[#This Row],[BJP votes]]-Telengana_Results_2024[[#This Row],[Max Votes Other Than BJP]]</f>
        <v>391475</v>
      </c>
      <c r="S193" s="10">
        <f>Telengana_Results_2024[[#This Row],[BJP vote share]]-Telengana_Results_2024[[#This Row],[Max Vote share other than bjp ]]</f>
        <v>0.20384258703000002</v>
      </c>
      <c r="T193">
        <v>3780453</v>
      </c>
      <c r="U193" s="8">
        <v>0.51275918520999997</v>
      </c>
      <c r="V193" s="1" t="s">
        <v>26</v>
      </c>
    </row>
    <row r="194" spans="1:22" x14ac:dyDescent="0.35">
      <c r="A194">
        <v>2024</v>
      </c>
      <c r="B194" s="1" t="s">
        <v>19</v>
      </c>
      <c r="C194" s="1" t="s">
        <v>531</v>
      </c>
      <c r="D194" s="1" t="s">
        <v>1025</v>
      </c>
      <c r="E194" s="1" t="s">
        <v>21</v>
      </c>
      <c r="F194" s="1" t="s">
        <v>44</v>
      </c>
      <c r="G194" s="1" t="s">
        <v>112</v>
      </c>
      <c r="H194" s="1" t="s">
        <v>53</v>
      </c>
      <c r="I194" s="1" t="s">
        <v>194</v>
      </c>
      <c r="J194">
        <v>1938462</v>
      </c>
      <c r="K194">
        <v>1920477</v>
      </c>
      <c r="L194">
        <v>1110</v>
      </c>
      <c r="M194" s="9">
        <v>5.7798140773999995E-4</v>
      </c>
      <c r="N194">
        <v>599567</v>
      </c>
      <c r="O194" s="9">
        <v>0.31219691774000002</v>
      </c>
      <c r="P194">
        <v>991042</v>
      </c>
      <c r="Q194" s="9">
        <v>0.51603950477000005</v>
      </c>
      <c r="R194">
        <f>Telengana_Results_2024[[#This Row],[BJP votes]]-Telengana_Results_2024[[#This Row],[Max Votes Other Than BJP]]</f>
        <v>391475</v>
      </c>
      <c r="S194" s="10">
        <f>Telengana_Results_2024[[#This Row],[BJP vote share]]-Telengana_Results_2024[[#This Row],[Max Vote share other than bjp ]]</f>
        <v>0.20384258703000002</v>
      </c>
      <c r="T194">
        <v>3780453</v>
      </c>
      <c r="U194" s="8">
        <v>0.51275918520999997</v>
      </c>
      <c r="V194" s="1" t="s">
        <v>26</v>
      </c>
    </row>
    <row r="195" spans="1:22" x14ac:dyDescent="0.35">
      <c r="A195">
        <v>2024</v>
      </c>
      <c r="B195" s="1" t="s">
        <v>19</v>
      </c>
      <c r="C195" s="1" t="s">
        <v>531</v>
      </c>
      <c r="D195" s="1" t="s">
        <v>1026</v>
      </c>
      <c r="E195" s="1" t="s">
        <v>35</v>
      </c>
      <c r="F195" s="1" t="s">
        <v>52</v>
      </c>
      <c r="G195" s="1" t="s">
        <v>112</v>
      </c>
      <c r="H195" s="1" t="s">
        <v>53</v>
      </c>
      <c r="I195" s="1" t="s">
        <v>491</v>
      </c>
      <c r="J195">
        <v>1938462</v>
      </c>
      <c r="K195">
        <v>1920477</v>
      </c>
      <c r="L195">
        <v>1069</v>
      </c>
      <c r="M195" s="9">
        <v>5.5663254493999996E-4</v>
      </c>
      <c r="N195">
        <v>599567</v>
      </c>
      <c r="O195" s="9">
        <v>0.31219691774000002</v>
      </c>
      <c r="P195">
        <v>991042</v>
      </c>
      <c r="Q195" s="9">
        <v>0.51603950477000005</v>
      </c>
      <c r="R195">
        <f>Telengana_Results_2024[[#This Row],[BJP votes]]-Telengana_Results_2024[[#This Row],[Max Votes Other Than BJP]]</f>
        <v>391475</v>
      </c>
      <c r="S195" s="10">
        <f>Telengana_Results_2024[[#This Row],[BJP vote share]]-Telengana_Results_2024[[#This Row],[Max Vote share other than bjp ]]</f>
        <v>0.20384258703000002</v>
      </c>
      <c r="T195">
        <v>3780453</v>
      </c>
      <c r="U195" s="8">
        <v>0.51275918520999997</v>
      </c>
      <c r="V195" s="1" t="s">
        <v>26</v>
      </c>
    </row>
    <row r="196" spans="1:22" x14ac:dyDescent="0.35">
      <c r="A196">
        <v>2024</v>
      </c>
      <c r="B196" s="1" t="s">
        <v>19</v>
      </c>
      <c r="C196" s="1" t="s">
        <v>531</v>
      </c>
      <c r="D196" s="1" t="s">
        <v>1027</v>
      </c>
      <c r="E196" s="1" t="s">
        <v>21</v>
      </c>
      <c r="F196" s="1" t="s">
        <v>48</v>
      </c>
      <c r="G196" s="1" t="s">
        <v>112</v>
      </c>
      <c r="H196" s="1" t="s">
        <v>53</v>
      </c>
      <c r="I196" s="1" t="s">
        <v>232</v>
      </c>
      <c r="J196">
        <v>1938462</v>
      </c>
      <c r="K196">
        <v>1920477</v>
      </c>
      <c r="L196">
        <v>987</v>
      </c>
      <c r="M196" s="9">
        <v>5.1393481932000004E-4</v>
      </c>
      <c r="N196">
        <v>599567</v>
      </c>
      <c r="O196" s="9">
        <v>0.31219691774000002</v>
      </c>
      <c r="P196">
        <v>991042</v>
      </c>
      <c r="Q196" s="9">
        <v>0.51603950477000005</v>
      </c>
      <c r="R196">
        <f>Telengana_Results_2024[[#This Row],[BJP votes]]-Telengana_Results_2024[[#This Row],[Max Votes Other Than BJP]]</f>
        <v>391475</v>
      </c>
      <c r="S196" s="10">
        <f>Telengana_Results_2024[[#This Row],[BJP vote share]]-Telengana_Results_2024[[#This Row],[Max Vote share other than bjp ]]</f>
        <v>0.20384258703000002</v>
      </c>
      <c r="T196">
        <v>3780453</v>
      </c>
      <c r="U196" s="8">
        <v>0.51275918520999997</v>
      </c>
      <c r="V196" s="1" t="s">
        <v>26</v>
      </c>
    </row>
    <row r="197" spans="1:22" x14ac:dyDescent="0.35">
      <c r="A197">
        <v>2024</v>
      </c>
      <c r="B197" s="1" t="s">
        <v>19</v>
      </c>
      <c r="C197" s="1" t="s">
        <v>531</v>
      </c>
      <c r="D197" s="1" t="s">
        <v>1028</v>
      </c>
      <c r="E197" s="1" t="s">
        <v>21</v>
      </c>
      <c r="F197" s="1" t="s">
        <v>99</v>
      </c>
      <c r="G197" s="1" t="s">
        <v>112</v>
      </c>
      <c r="H197" s="1" t="s">
        <v>879</v>
      </c>
      <c r="I197" s="1" t="s">
        <v>818</v>
      </c>
      <c r="J197">
        <v>1938462</v>
      </c>
      <c r="K197">
        <v>1920477</v>
      </c>
      <c r="L197">
        <v>933</v>
      </c>
      <c r="M197" s="9">
        <v>4.8581680489E-4</v>
      </c>
      <c r="N197">
        <v>599567</v>
      </c>
      <c r="O197" s="9">
        <v>0.31219691774000002</v>
      </c>
      <c r="P197">
        <v>991042</v>
      </c>
      <c r="Q197" s="9">
        <v>0.51603950477000005</v>
      </c>
      <c r="R197">
        <f>Telengana_Results_2024[[#This Row],[BJP votes]]-Telengana_Results_2024[[#This Row],[Max Votes Other Than BJP]]</f>
        <v>391475</v>
      </c>
      <c r="S197" s="10">
        <f>Telengana_Results_2024[[#This Row],[BJP vote share]]-Telengana_Results_2024[[#This Row],[Max Vote share other than bjp ]]</f>
        <v>0.20384258703000002</v>
      </c>
      <c r="T197">
        <v>3780453</v>
      </c>
      <c r="U197" s="8">
        <v>0.51275918520999997</v>
      </c>
      <c r="V197" s="1" t="s">
        <v>26</v>
      </c>
    </row>
    <row r="198" spans="1:22" x14ac:dyDescent="0.35">
      <c r="A198">
        <v>2024</v>
      </c>
      <c r="B198" s="1" t="s">
        <v>19</v>
      </c>
      <c r="C198" s="1" t="s">
        <v>531</v>
      </c>
      <c r="D198" s="1" t="s">
        <v>1029</v>
      </c>
      <c r="E198" s="1" t="s">
        <v>21</v>
      </c>
      <c r="F198" s="1" t="s">
        <v>165</v>
      </c>
      <c r="G198" s="1" t="s">
        <v>112</v>
      </c>
      <c r="H198" s="1" t="s">
        <v>798</v>
      </c>
      <c r="I198" s="1" t="s">
        <v>749</v>
      </c>
      <c r="J198">
        <v>1938462</v>
      </c>
      <c r="K198">
        <v>1920477</v>
      </c>
      <c r="L198">
        <v>789</v>
      </c>
      <c r="M198" s="9">
        <v>4.1083543307000002E-4</v>
      </c>
      <c r="N198">
        <v>599567</v>
      </c>
      <c r="O198" s="9">
        <v>0.31219691774000002</v>
      </c>
      <c r="P198">
        <v>991042</v>
      </c>
      <c r="Q198" s="9">
        <v>0.51603950477000005</v>
      </c>
      <c r="R198">
        <f>Telengana_Results_2024[[#This Row],[BJP votes]]-Telengana_Results_2024[[#This Row],[Max Votes Other Than BJP]]</f>
        <v>391475</v>
      </c>
      <c r="S198" s="10">
        <f>Telengana_Results_2024[[#This Row],[BJP vote share]]-Telengana_Results_2024[[#This Row],[Max Vote share other than bjp ]]</f>
        <v>0.20384258703000002</v>
      </c>
      <c r="T198">
        <v>3780453</v>
      </c>
      <c r="U198" s="8">
        <v>0.51275918520999997</v>
      </c>
      <c r="V198" s="1" t="s">
        <v>26</v>
      </c>
    </row>
    <row r="199" spans="1:22" x14ac:dyDescent="0.35">
      <c r="A199">
        <v>2024</v>
      </c>
      <c r="B199" s="1" t="s">
        <v>19</v>
      </c>
      <c r="C199" s="1" t="s">
        <v>531</v>
      </c>
      <c r="D199" s="1" t="s">
        <v>1030</v>
      </c>
      <c r="E199" s="1" t="s">
        <v>21</v>
      </c>
      <c r="F199" s="1" t="s">
        <v>183</v>
      </c>
      <c r="G199" s="1" t="s">
        <v>112</v>
      </c>
      <c r="H199" s="1" t="s">
        <v>536</v>
      </c>
      <c r="I199" s="1" t="s">
        <v>823</v>
      </c>
      <c r="J199">
        <v>1938462</v>
      </c>
      <c r="K199">
        <v>1920477</v>
      </c>
      <c r="L199">
        <v>723</v>
      </c>
      <c r="M199" s="9">
        <v>3.7646897099000002E-4</v>
      </c>
      <c r="N199">
        <v>599567</v>
      </c>
      <c r="O199" s="9">
        <v>0.31219691774000002</v>
      </c>
      <c r="P199">
        <v>991042</v>
      </c>
      <c r="Q199" s="9">
        <v>0.51603950477000005</v>
      </c>
      <c r="R199">
        <f>Telengana_Results_2024[[#This Row],[BJP votes]]-Telengana_Results_2024[[#This Row],[Max Votes Other Than BJP]]</f>
        <v>391475</v>
      </c>
      <c r="S199" s="10">
        <f>Telengana_Results_2024[[#This Row],[BJP vote share]]-Telengana_Results_2024[[#This Row],[Max Vote share other than bjp ]]</f>
        <v>0.20384258703000002</v>
      </c>
      <c r="T199">
        <v>3780453</v>
      </c>
      <c r="U199" s="8">
        <v>0.51275918520999997</v>
      </c>
      <c r="V199" s="1" t="s">
        <v>26</v>
      </c>
    </row>
    <row r="200" spans="1:22" x14ac:dyDescent="0.35">
      <c r="A200">
        <v>2024</v>
      </c>
      <c r="B200" s="1" t="s">
        <v>19</v>
      </c>
      <c r="C200" s="1" t="s">
        <v>531</v>
      </c>
      <c r="D200" s="1" t="s">
        <v>1031</v>
      </c>
      <c r="E200" s="1" t="s">
        <v>21</v>
      </c>
      <c r="F200" s="1" t="s">
        <v>80</v>
      </c>
      <c r="G200" s="1" t="s">
        <v>112</v>
      </c>
      <c r="H200" s="1" t="s">
        <v>800</v>
      </c>
      <c r="I200" s="1" t="s">
        <v>54</v>
      </c>
      <c r="J200">
        <v>1938462</v>
      </c>
      <c r="K200">
        <v>1920477</v>
      </c>
      <c r="L200">
        <v>694</v>
      </c>
      <c r="M200" s="9">
        <v>3.6136855583000001E-4</v>
      </c>
      <c r="N200">
        <v>599567</v>
      </c>
      <c r="O200" s="9">
        <v>0.31219691774000002</v>
      </c>
      <c r="P200">
        <v>991042</v>
      </c>
      <c r="Q200" s="9">
        <v>0.51603950477000005</v>
      </c>
      <c r="R200">
        <f>Telengana_Results_2024[[#This Row],[BJP votes]]-Telengana_Results_2024[[#This Row],[Max Votes Other Than BJP]]</f>
        <v>391475</v>
      </c>
      <c r="S200" s="10">
        <f>Telengana_Results_2024[[#This Row],[BJP vote share]]-Telengana_Results_2024[[#This Row],[Max Vote share other than bjp ]]</f>
        <v>0.20384258703000002</v>
      </c>
      <c r="T200">
        <v>3780453</v>
      </c>
      <c r="U200" s="8">
        <v>0.51275918520999997</v>
      </c>
      <c r="V200" s="1" t="s">
        <v>26</v>
      </c>
    </row>
    <row r="201" spans="1:22" x14ac:dyDescent="0.35">
      <c r="A201">
        <v>2024</v>
      </c>
      <c r="B201" s="1" t="s">
        <v>19</v>
      </c>
      <c r="C201" s="1" t="s">
        <v>531</v>
      </c>
      <c r="D201" s="1" t="s">
        <v>1032</v>
      </c>
      <c r="E201" s="1" t="s">
        <v>21</v>
      </c>
      <c r="F201" s="1" t="s">
        <v>62</v>
      </c>
      <c r="G201" s="1" t="s">
        <v>112</v>
      </c>
      <c r="H201" s="1" t="s">
        <v>53</v>
      </c>
      <c r="I201" s="1" t="s">
        <v>57</v>
      </c>
      <c r="J201">
        <v>1938462</v>
      </c>
      <c r="K201">
        <v>1920477</v>
      </c>
      <c r="L201">
        <v>539</v>
      </c>
      <c r="M201" s="9">
        <v>2.8065944033999997E-4</v>
      </c>
      <c r="N201">
        <v>599567</v>
      </c>
      <c r="O201" s="9">
        <v>0.31219691774000002</v>
      </c>
      <c r="P201">
        <v>991042</v>
      </c>
      <c r="Q201" s="9">
        <v>0.51603950477000005</v>
      </c>
      <c r="R201">
        <f>Telengana_Results_2024[[#This Row],[BJP votes]]-Telengana_Results_2024[[#This Row],[Max Votes Other Than BJP]]</f>
        <v>391475</v>
      </c>
      <c r="S201" s="10">
        <f>Telengana_Results_2024[[#This Row],[BJP vote share]]-Telengana_Results_2024[[#This Row],[Max Vote share other than bjp ]]</f>
        <v>0.20384258703000002</v>
      </c>
      <c r="T201">
        <v>3780453</v>
      </c>
      <c r="U201" s="8">
        <v>0.51275918520999997</v>
      </c>
      <c r="V201" s="1" t="s">
        <v>26</v>
      </c>
    </row>
    <row r="202" spans="1:22" x14ac:dyDescent="0.35">
      <c r="A202">
        <v>2024</v>
      </c>
      <c r="B202" s="1" t="s">
        <v>19</v>
      </c>
      <c r="C202" s="1" t="s">
        <v>531</v>
      </c>
      <c r="D202" s="1" t="s">
        <v>1033</v>
      </c>
      <c r="E202" s="1" t="s">
        <v>21</v>
      </c>
      <c r="F202" s="1" t="s">
        <v>117</v>
      </c>
      <c r="G202" s="1" t="s">
        <v>112</v>
      </c>
      <c r="H202" s="1" t="s">
        <v>1034</v>
      </c>
      <c r="I202" s="1" t="s">
        <v>167</v>
      </c>
      <c r="J202">
        <v>1938462</v>
      </c>
      <c r="K202">
        <v>1920477</v>
      </c>
      <c r="L202">
        <v>508</v>
      </c>
      <c r="M202" s="9">
        <v>2.6451761724000003E-4</v>
      </c>
      <c r="N202">
        <v>599567</v>
      </c>
      <c r="O202" s="9">
        <v>0.31219691774000002</v>
      </c>
      <c r="P202">
        <v>991042</v>
      </c>
      <c r="Q202" s="9">
        <v>0.51603950477000005</v>
      </c>
      <c r="R202">
        <f>Telengana_Results_2024[[#This Row],[BJP votes]]-Telengana_Results_2024[[#This Row],[Max Votes Other Than BJP]]</f>
        <v>391475</v>
      </c>
      <c r="S202" s="10">
        <f>Telengana_Results_2024[[#This Row],[BJP vote share]]-Telengana_Results_2024[[#This Row],[Max Vote share other than bjp ]]</f>
        <v>0.20384258703000002</v>
      </c>
      <c r="T202">
        <v>3780453</v>
      </c>
      <c r="U202" s="8">
        <v>0.51275918520999997</v>
      </c>
      <c r="V202" s="1" t="s">
        <v>26</v>
      </c>
    </row>
    <row r="203" spans="1:22" x14ac:dyDescent="0.35">
      <c r="A203">
        <v>2024</v>
      </c>
      <c r="B203" s="1" t="s">
        <v>19</v>
      </c>
      <c r="C203" s="1" t="s">
        <v>531</v>
      </c>
      <c r="D203" s="1" t="s">
        <v>1035</v>
      </c>
      <c r="E203" s="1" t="s">
        <v>21</v>
      </c>
      <c r="F203" s="1" t="s">
        <v>44</v>
      </c>
      <c r="G203" s="1" t="s">
        <v>67</v>
      </c>
      <c r="H203" s="1" t="s">
        <v>1036</v>
      </c>
      <c r="I203" s="1" t="s">
        <v>339</v>
      </c>
      <c r="J203">
        <v>1938462</v>
      </c>
      <c r="K203">
        <v>1920477</v>
      </c>
      <c r="L203">
        <v>494</v>
      </c>
      <c r="M203" s="9">
        <v>2.5722776163999999E-4</v>
      </c>
      <c r="N203">
        <v>599567</v>
      </c>
      <c r="O203" s="9">
        <v>0.31219691774000002</v>
      </c>
      <c r="P203">
        <v>991042</v>
      </c>
      <c r="Q203" s="9">
        <v>0.51603950477000005</v>
      </c>
      <c r="R203">
        <f>Telengana_Results_2024[[#This Row],[BJP votes]]-Telengana_Results_2024[[#This Row],[Max Votes Other Than BJP]]</f>
        <v>391475</v>
      </c>
      <c r="S203" s="10">
        <f>Telengana_Results_2024[[#This Row],[BJP vote share]]-Telengana_Results_2024[[#This Row],[Max Vote share other than bjp ]]</f>
        <v>0.20384258703000002</v>
      </c>
      <c r="T203">
        <v>3780453</v>
      </c>
      <c r="U203" s="8">
        <v>0.51275918520999997</v>
      </c>
      <c r="V203" s="1" t="s">
        <v>26</v>
      </c>
    </row>
    <row r="204" spans="1:22" x14ac:dyDescent="0.35">
      <c r="A204">
        <v>2024</v>
      </c>
      <c r="B204" s="1" t="s">
        <v>19</v>
      </c>
      <c r="C204" s="1" t="s">
        <v>531</v>
      </c>
      <c r="D204" s="1" t="s">
        <v>1037</v>
      </c>
      <c r="E204" s="1" t="s">
        <v>21</v>
      </c>
      <c r="F204" s="1" t="s">
        <v>155</v>
      </c>
      <c r="G204" s="1" t="s">
        <v>23</v>
      </c>
      <c r="H204" s="1" t="s">
        <v>53</v>
      </c>
      <c r="I204" s="1" t="s">
        <v>163</v>
      </c>
      <c r="J204">
        <v>1938462</v>
      </c>
      <c r="K204">
        <v>1920477</v>
      </c>
      <c r="L204">
        <v>447</v>
      </c>
      <c r="M204" s="9">
        <v>2.3275467500999999E-4</v>
      </c>
      <c r="N204">
        <v>599567</v>
      </c>
      <c r="O204" s="9">
        <v>0.31219691774000002</v>
      </c>
      <c r="P204">
        <v>991042</v>
      </c>
      <c r="Q204" s="9">
        <v>0.51603950477000005</v>
      </c>
      <c r="R204">
        <f>Telengana_Results_2024[[#This Row],[BJP votes]]-Telengana_Results_2024[[#This Row],[Max Votes Other Than BJP]]</f>
        <v>391475</v>
      </c>
      <c r="S204" s="10">
        <f>Telengana_Results_2024[[#This Row],[BJP vote share]]-Telengana_Results_2024[[#This Row],[Max Vote share other than bjp ]]</f>
        <v>0.20384258703000002</v>
      </c>
      <c r="T204">
        <v>3780453</v>
      </c>
      <c r="U204" s="8">
        <v>0.51275918520999997</v>
      </c>
      <c r="V204" s="1" t="s">
        <v>26</v>
      </c>
    </row>
    <row r="205" spans="1:22" x14ac:dyDescent="0.35">
      <c r="A205">
        <v>2024</v>
      </c>
      <c r="B205" s="1" t="s">
        <v>19</v>
      </c>
      <c r="C205" s="1" t="s">
        <v>546</v>
      </c>
      <c r="D205" s="1" t="s">
        <v>1038</v>
      </c>
      <c r="E205" s="1" t="s">
        <v>21</v>
      </c>
      <c r="F205" s="1" t="s">
        <v>87</v>
      </c>
      <c r="G205" s="1" t="s">
        <v>112</v>
      </c>
      <c r="H205" s="1" t="s">
        <v>32</v>
      </c>
      <c r="I205" s="1" t="s">
        <v>33</v>
      </c>
      <c r="J205">
        <v>1048604</v>
      </c>
      <c r="K205">
        <v>1042493</v>
      </c>
      <c r="L205">
        <v>473012</v>
      </c>
      <c r="M205" s="9">
        <v>0.45373158381000001</v>
      </c>
      <c r="N205">
        <v>423068</v>
      </c>
      <c r="O205" s="9">
        <v>0.40582334845000001</v>
      </c>
      <c r="P205">
        <v>473012</v>
      </c>
      <c r="Q205" s="9">
        <v>0.45373158381000001</v>
      </c>
      <c r="R205">
        <f>Telengana_Results_2024[[#This Row],[BJP votes]]-Telengana_Results_2024[[#This Row],[Max Votes Other Than BJP]]</f>
        <v>49944</v>
      </c>
      <c r="S205" s="10">
        <f>Telengana_Results_2024[[#This Row],[BJP vote share]]-Telengana_Results_2024[[#This Row],[Max Vote share other than bjp ]]</f>
        <v>4.7908235359999995E-2</v>
      </c>
      <c r="T205">
        <v>2120550</v>
      </c>
      <c r="U205" s="8">
        <v>0.49449623918000002</v>
      </c>
      <c r="V205" s="1" t="s">
        <v>26</v>
      </c>
    </row>
    <row r="206" spans="1:22" x14ac:dyDescent="0.35">
      <c r="A206">
        <v>2024</v>
      </c>
      <c r="B206" s="1" t="s">
        <v>19</v>
      </c>
      <c r="C206" s="1" t="s">
        <v>546</v>
      </c>
      <c r="D206" s="1" t="s">
        <v>1039</v>
      </c>
      <c r="E206" s="1" t="s">
        <v>21</v>
      </c>
      <c r="F206" s="1" t="s">
        <v>66</v>
      </c>
      <c r="G206" s="1" t="s">
        <v>112</v>
      </c>
      <c r="H206" s="1" t="s">
        <v>29</v>
      </c>
      <c r="I206" s="1" t="s">
        <v>30</v>
      </c>
      <c r="J206">
        <v>1048604</v>
      </c>
      <c r="K206">
        <v>1042493</v>
      </c>
      <c r="L206">
        <v>423068</v>
      </c>
      <c r="M206" s="9">
        <v>0.40582334845000001</v>
      </c>
      <c r="N206">
        <v>423068</v>
      </c>
      <c r="O206" s="9">
        <v>0.40582334845000001</v>
      </c>
      <c r="P206">
        <v>473012</v>
      </c>
      <c r="Q206" s="9">
        <v>0.45373158381000001</v>
      </c>
      <c r="R206">
        <f>Telengana_Results_2024[[#This Row],[BJP votes]]-Telengana_Results_2024[[#This Row],[Max Votes Other Than BJP]]</f>
        <v>49944</v>
      </c>
      <c r="S206" s="10">
        <f>Telengana_Results_2024[[#This Row],[BJP vote share]]-Telengana_Results_2024[[#This Row],[Max Vote share other than bjp ]]</f>
        <v>4.7908235359999995E-2</v>
      </c>
      <c r="T206">
        <v>2120550</v>
      </c>
      <c r="U206" s="8">
        <v>0.49449623918000002</v>
      </c>
      <c r="V206" s="1" t="s">
        <v>26</v>
      </c>
    </row>
    <row r="207" spans="1:22" x14ac:dyDescent="0.35">
      <c r="A207">
        <v>2024</v>
      </c>
      <c r="B207" s="1" t="s">
        <v>19</v>
      </c>
      <c r="C207" s="1" t="s">
        <v>546</v>
      </c>
      <c r="D207" s="1" t="s">
        <v>1040</v>
      </c>
      <c r="E207" s="1" t="s">
        <v>21</v>
      </c>
      <c r="F207" s="1" t="s">
        <v>1041</v>
      </c>
      <c r="G207" s="1" t="s">
        <v>112</v>
      </c>
      <c r="H207" s="1" t="s">
        <v>785</v>
      </c>
      <c r="I207" s="1" t="s">
        <v>25</v>
      </c>
      <c r="J207">
        <v>1048604</v>
      </c>
      <c r="K207">
        <v>1042493</v>
      </c>
      <c r="L207">
        <v>129586</v>
      </c>
      <c r="M207" s="9">
        <v>0.12430395215999999</v>
      </c>
      <c r="N207">
        <v>423068</v>
      </c>
      <c r="O207" s="9">
        <v>0.40582334845000001</v>
      </c>
      <c r="P207">
        <v>473012</v>
      </c>
      <c r="Q207" s="9">
        <v>0.45373158381000001</v>
      </c>
      <c r="R207">
        <f>Telengana_Results_2024[[#This Row],[BJP votes]]-Telengana_Results_2024[[#This Row],[Max Votes Other Than BJP]]</f>
        <v>49944</v>
      </c>
      <c r="S207" s="10">
        <f>Telengana_Results_2024[[#This Row],[BJP vote share]]-Telengana_Results_2024[[#This Row],[Max Vote share other than bjp ]]</f>
        <v>4.7908235359999995E-2</v>
      </c>
      <c r="T207">
        <v>2120550</v>
      </c>
      <c r="U207" s="8">
        <v>0.49449623918000002</v>
      </c>
      <c r="V207" s="1" t="s">
        <v>26</v>
      </c>
    </row>
    <row r="208" spans="1:22" x14ac:dyDescent="0.35">
      <c r="A208">
        <v>2024</v>
      </c>
      <c r="B208" s="1" t="s">
        <v>19</v>
      </c>
      <c r="C208" s="1" t="s">
        <v>546</v>
      </c>
      <c r="D208" s="1" t="s">
        <v>64</v>
      </c>
      <c r="E208" s="1" t="s">
        <v>64</v>
      </c>
      <c r="F208" s="1" t="s">
        <v>64</v>
      </c>
      <c r="G208" s="1" t="s">
        <v>64</v>
      </c>
      <c r="H208" s="1" t="s">
        <v>64</v>
      </c>
      <c r="I208" s="1" t="s">
        <v>64</v>
      </c>
      <c r="J208">
        <v>1048604</v>
      </c>
      <c r="K208">
        <v>1042493</v>
      </c>
      <c r="L208">
        <v>5166</v>
      </c>
      <c r="M208" s="9">
        <v>4.9554289573000001E-3</v>
      </c>
      <c r="N208">
        <v>423068</v>
      </c>
      <c r="O208" s="9">
        <v>0.40582334845000001</v>
      </c>
      <c r="P208">
        <v>473012</v>
      </c>
      <c r="Q208" s="9">
        <v>0.45373158381000001</v>
      </c>
      <c r="R208">
        <f>Telengana_Results_2024[[#This Row],[BJP votes]]-Telengana_Results_2024[[#This Row],[Max Votes Other Than BJP]]</f>
        <v>49944</v>
      </c>
      <c r="S208" s="10">
        <f>Telengana_Results_2024[[#This Row],[BJP vote share]]-Telengana_Results_2024[[#This Row],[Max Vote share other than bjp ]]</f>
        <v>4.7908235359999995E-2</v>
      </c>
      <c r="T208">
        <v>2120550</v>
      </c>
      <c r="U208" s="8">
        <v>0.49449623918000002</v>
      </c>
      <c r="V208" s="1" t="s">
        <v>26</v>
      </c>
    </row>
    <row r="209" spans="1:22" x14ac:dyDescent="0.35">
      <c r="A209">
        <v>2024</v>
      </c>
      <c r="B209" s="1" t="s">
        <v>19</v>
      </c>
      <c r="C209" s="1" t="s">
        <v>546</v>
      </c>
      <c r="D209" s="1" t="s">
        <v>1042</v>
      </c>
      <c r="E209" s="1" t="s">
        <v>21</v>
      </c>
      <c r="F209" s="1" t="s">
        <v>115</v>
      </c>
      <c r="G209" s="1" t="s">
        <v>112</v>
      </c>
      <c r="H209" s="1" t="s">
        <v>72</v>
      </c>
      <c r="I209" s="1" t="s">
        <v>73</v>
      </c>
      <c r="J209">
        <v>1048604</v>
      </c>
      <c r="K209">
        <v>1042493</v>
      </c>
      <c r="L209">
        <v>2268</v>
      </c>
      <c r="M209" s="9">
        <v>2.1755541764000002E-3</v>
      </c>
      <c r="N209">
        <v>423068</v>
      </c>
      <c r="O209" s="9">
        <v>0.40582334845000001</v>
      </c>
      <c r="P209">
        <v>473012</v>
      </c>
      <c r="Q209" s="9">
        <v>0.45373158381000001</v>
      </c>
      <c r="R209">
        <f>Telengana_Results_2024[[#This Row],[BJP votes]]-Telengana_Results_2024[[#This Row],[Max Votes Other Than BJP]]</f>
        <v>49944</v>
      </c>
      <c r="S209" s="10">
        <f>Telengana_Results_2024[[#This Row],[BJP vote share]]-Telengana_Results_2024[[#This Row],[Max Vote share other than bjp ]]</f>
        <v>4.7908235359999995E-2</v>
      </c>
      <c r="T209">
        <v>2120550</v>
      </c>
      <c r="U209" s="8">
        <v>0.49449623918000002</v>
      </c>
      <c r="V209" s="1" t="s">
        <v>26</v>
      </c>
    </row>
    <row r="210" spans="1:22" x14ac:dyDescent="0.35">
      <c r="A210">
        <v>2024</v>
      </c>
      <c r="B210" s="1" t="s">
        <v>19</v>
      </c>
      <c r="C210" s="1" t="s">
        <v>546</v>
      </c>
      <c r="D210" s="1" t="s">
        <v>1043</v>
      </c>
      <c r="E210" s="1" t="s">
        <v>21</v>
      </c>
      <c r="F210" s="1" t="s">
        <v>59</v>
      </c>
      <c r="G210" s="1" t="s">
        <v>112</v>
      </c>
      <c r="H210" s="1" t="s">
        <v>1044</v>
      </c>
      <c r="I210" s="1" t="s">
        <v>820</v>
      </c>
      <c r="J210">
        <v>1048604</v>
      </c>
      <c r="K210">
        <v>1042493</v>
      </c>
      <c r="L210">
        <v>1727</v>
      </c>
      <c r="M210" s="9">
        <v>1.6566058477000001E-3</v>
      </c>
      <c r="N210">
        <v>423068</v>
      </c>
      <c r="O210" s="9">
        <v>0.40582334845000001</v>
      </c>
      <c r="P210">
        <v>473012</v>
      </c>
      <c r="Q210" s="9">
        <v>0.45373158381000001</v>
      </c>
      <c r="R210">
        <f>Telengana_Results_2024[[#This Row],[BJP votes]]-Telengana_Results_2024[[#This Row],[Max Votes Other Than BJP]]</f>
        <v>49944</v>
      </c>
      <c r="S210" s="10">
        <f>Telengana_Results_2024[[#This Row],[BJP vote share]]-Telengana_Results_2024[[#This Row],[Max Vote share other than bjp ]]</f>
        <v>4.7908235359999995E-2</v>
      </c>
      <c r="T210">
        <v>2120550</v>
      </c>
      <c r="U210" s="8">
        <v>0.49449623918000002</v>
      </c>
      <c r="V210" s="1" t="s">
        <v>26</v>
      </c>
    </row>
    <row r="211" spans="1:22" x14ac:dyDescent="0.35">
      <c r="A211">
        <v>2024</v>
      </c>
      <c r="B211" s="1" t="s">
        <v>19</v>
      </c>
      <c r="C211" s="1" t="s">
        <v>546</v>
      </c>
      <c r="D211" s="1" t="s">
        <v>1045</v>
      </c>
      <c r="E211" s="1" t="s">
        <v>21</v>
      </c>
      <c r="F211" s="1" t="s">
        <v>71</v>
      </c>
      <c r="G211" s="1" t="s">
        <v>23</v>
      </c>
      <c r="H211" s="1" t="s">
        <v>53</v>
      </c>
      <c r="I211" s="1" t="s">
        <v>788</v>
      </c>
      <c r="J211">
        <v>1048604</v>
      </c>
      <c r="K211">
        <v>1042493</v>
      </c>
      <c r="L211">
        <v>996</v>
      </c>
      <c r="M211" s="9">
        <v>9.5540209862000002E-4</v>
      </c>
      <c r="N211">
        <v>423068</v>
      </c>
      <c r="O211" s="9">
        <v>0.40582334845000001</v>
      </c>
      <c r="P211">
        <v>473012</v>
      </c>
      <c r="Q211" s="9">
        <v>0.45373158381000001</v>
      </c>
      <c r="R211">
        <f>Telengana_Results_2024[[#This Row],[BJP votes]]-Telengana_Results_2024[[#This Row],[Max Votes Other Than BJP]]</f>
        <v>49944</v>
      </c>
      <c r="S211" s="10">
        <f>Telengana_Results_2024[[#This Row],[BJP vote share]]-Telengana_Results_2024[[#This Row],[Max Vote share other than bjp ]]</f>
        <v>4.7908235359999995E-2</v>
      </c>
      <c r="T211">
        <v>2120550</v>
      </c>
      <c r="U211" s="8">
        <v>0.49449623918000002</v>
      </c>
      <c r="V211" s="1" t="s">
        <v>26</v>
      </c>
    </row>
    <row r="212" spans="1:22" x14ac:dyDescent="0.35">
      <c r="A212">
        <v>2024</v>
      </c>
      <c r="B212" s="1" t="s">
        <v>19</v>
      </c>
      <c r="C212" s="1" t="s">
        <v>546</v>
      </c>
      <c r="D212" s="1" t="s">
        <v>1046</v>
      </c>
      <c r="E212" s="1" t="s">
        <v>21</v>
      </c>
      <c r="F212" s="1" t="s">
        <v>379</v>
      </c>
      <c r="G212" s="1" t="s">
        <v>112</v>
      </c>
      <c r="H212" s="1" t="s">
        <v>122</v>
      </c>
      <c r="I212" s="1" t="s">
        <v>948</v>
      </c>
      <c r="J212">
        <v>1048604</v>
      </c>
      <c r="K212">
        <v>1042493</v>
      </c>
      <c r="L212">
        <v>974</v>
      </c>
      <c r="M212" s="9">
        <v>9.3429883942000005E-4</v>
      </c>
      <c r="N212">
        <v>423068</v>
      </c>
      <c r="O212" s="9">
        <v>0.40582334845000001</v>
      </c>
      <c r="P212">
        <v>473012</v>
      </c>
      <c r="Q212" s="9">
        <v>0.45373158381000001</v>
      </c>
      <c r="R212">
        <f>Telengana_Results_2024[[#This Row],[BJP votes]]-Telengana_Results_2024[[#This Row],[Max Votes Other Than BJP]]</f>
        <v>49944</v>
      </c>
      <c r="S212" s="10">
        <f>Telengana_Results_2024[[#This Row],[BJP vote share]]-Telengana_Results_2024[[#This Row],[Max Vote share other than bjp ]]</f>
        <v>4.7908235359999995E-2</v>
      </c>
      <c r="T212">
        <v>2120550</v>
      </c>
      <c r="U212" s="8">
        <v>0.49449623918000002</v>
      </c>
      <c r="V212" s="1" t="s">
        <v>26</v>
      </c>
    </row>
    <row r="213" spans="1:22" x14ac:dyDescent="0.35">
      <c r="A213">
        <v>2024</v>
      </c>
      <c r="B213" s="1" t="s">
        <v>19</v>
      </c>
      <c r="C213" s="1" t="s">
        <v>546</v>
      </c>
      <c r="D213" s="1" t="s">
        <v>1047</v>
      </c>
      <c r="E213" s="1" t="s">
        <v>21</v>
      </c>
      <c r="F213" s="1" t="s">
        <v>205</v>
      </c>
      <c r="G213" s="1" t="s">
        <v>112</v>
      </c>
      <c r="H213" s="1" t="s">
        <v>798</v>
      </c>
      <c r="I213" s="1" t="s">
        <v>749</v>
      </c>
      <c r="J213">
        <v>1048604</v>
      </c>
      <c r="K213">
        <v>1042493</v>
      </c>
      <c r="L213">
        <v>826</v>
      </c>
      <c r="M213" s="9">
        <v>7.9233145930000001E-4</v>
      </c>
      <c r="N213">
        <v>423068</v>
      </c>
      <c r="O213" s="9">
        <v>0.40582334845000001</v>
      </c>
      <c r="P213">
        <v>473012</v>
      </c>
      <c r="Q213" s="9">
        <v>0.45373158381000001</v>
      </c>
      <c r="R213">
        <f>Telengana_Results_2024[[#This Row],[BJP votes]]-Telengana_Results_2024[[#This Row],[Max Votes Other Than BJP]]</f>
        <v>49944</v>
      </c>
      <c r="S213" s="10">
        <f>Telengana_Results_2024[[#This Row],[BJP vote share]]-Telengana_Results_2024[[#This Row],[Max Vote share other than bjp ]]</f>
        <v>4.7908235359999995E-2</v>
      </c>
      <c r="T213">
        <v>2120550</v>
      </c>
      <c r="U213" s="8">
        <v>0.49449623918000002</v>
      </c>
      <c r="V213" s="1" t="s">
        <v>26</v>
      </c>
    </row>
    <row r="214" spans="1:22" x14ac:dyDescent="0.35">
      <c r="A214">
        <v>2024</v>
      </c>
      <c r="B214" s="1" t="s">
        <v>19</v>
      </c>
      <c r="C214" s="1" t="s">
        <v>546</v>
      </c>
      <c r="D214" s="1" t="s">
        <v>1048</v>
      </c>
      <c r="E214" s="1" t="s">
        <v>21</v>
      </c>
      <c r="F214" s="1" t="s">
        <v>62</v>
      </c>
      <c r="G214" s="1" t="s">
        <v>112</v>
      </c>
      <c r="H214" s="1" t="s">
        <v>921</v>
      </c>
      <c r="I214" s="1" t="s">
        <v>796</v>
      </c>
      <c r="J214">
        <v>1048604</v>
      </c>
      <c r="K214">
        <v>1042493</v>
      </c>
      <c r="L214">
        <v>679</v>
      </c>
      <c r="M214" s="9">
        <v>6.5132331823999998E-4</v>
      </c>
      <c r="N214">
        <v>423068</v>
      </c>
      <c r="O214" s="9">
        <v>0.40582334845000001</v>
      </c>
      <c r="P214">
        <v>473012</v>
      </c>
      <c r="Q214" s="9">
        <v>0.45373158381000001</v>
      </c>
      <c r="R214">
        <f>Telengana_Results_2024[[#This Row],[BJP votes]]-Telengana_Results_2024[[#This Row],[Max Votes Other Than BJP]]</f>
        <v>49944</v>
      </c>
      <c r="S214" s="10">
        <f>Telengana_Results_2024[[#This Row],[BJP vote share]]-Telengana_Results_2024[[#This Row],[Max Vote share other than bjp ]]</f>
        <v>4.7908235359999995E-2</v>
      </c>
      <c r="T214">
        <v>2120550</v>
      </c>
      <c r="U214" s="8">
        <v>0.49449623918000002</v>
      </c>
      <c r="V214" s="1" t="s">
        <v>26</v>
      </c>
    </row>
    <row r="215" spans="1:22" x14ac:dyDescent="0.35">
      <c r="A215">
        <v>2024</v>
      </c>
      <c r="B215" s="1" t="s">
        <v>19</v>
      </c>
      <c r="C215" s="1" t="s">
        <v>546</v>
      </c>
      <c r="D215" s="1" t="s">
        <v>1049</v>
      </c>
      <c r="E215" s="1" t="s">
        <v>21</v>
      </c>
      <c r="F215" s="1" t="s">
        <v>618</v>
      </c>
      <c r="G215" s="1" t="s">
        <v>112</v>
      </c>
      <c r="H215" s="1" t="s">
        <v>53</v>
      </c>
      <c r="I215" s="1" t="s">
        <v>194</v>
      </c>
      <c r="J215">
        <v>1048604</v>
      </c>
      <c r="K215">
        <v>1042493</v>
      </c>
      <c r="L215">
        <v>673</v>
      </c>
      <c r="M215" s="9">
        <v>6.4556788390999998E-4</v>
      </c>
      <c r="N215">
        <v>423068</v>
      </c>
      <c r="O215" s="9">
        <v>0.40582334845000001</v>
      </c>
      <c r="P215">
        <v>473012</v>
      </c>
      <c r="Q215" s="9">
        <v>0.45373158381000001</v>
      </c>
      <c r="R215">
        <f>Telengana_Results_2024[[#This Row],[BJP votes]]-Telengana_Results_2024[[#This Row],[Max Votes Other Than BJP]]</f>
        <v>49944</v>
      </c>
      <c r="S215" s="10">
        <f>Telengana_Results_2024[[#This Row],[BJP vote share]]-Telengana_Results_2024[[#This Row],[Max Vote share other than bjp ]]</f>
        <v>4.7908235359999995E-2</v>
      </c>
      <c r="T215">
        <v>2120550</v>
      </c>
      <c r="U215" s="8">
        <v>0.49449623918000002</v>
      </c>
      <c r="V215" s="1" t="s">
        <v>26</v>
      </c>
    </row>
    <row r="216" spans="1:22" x14ac:dyDescent="0.35">
      <c r="A216">
        <v>2024</v>
      </c>
      <c r="B216" s="1" t="s">
        <v>19</v>
      </c>
      <c r="C216" s="1" t="s">
        <v>546</v>
      </c>
      <c r="D216" s="1" t="s">
        <v>1050</v>
      </c>
      <c r="E216" s="1" t="s">
        <v>21</v>
      </c>
      <c r="F216" s="1" t="s">
        <v>165</v>
      </c>
      <c r="G216" s="1" t="s">
        <v>112</v>
      </c>
      <c r="H216" s="1" t="s">
        <v>53</v>
      </c>
      <c r="I216" s="1" t="s">
        <v>1051</v>
      </c>
      <c r="J216">
        <v>1048604</v>
      </c>
      <c r="K216">
        <v>1042493</v>
      </c>
      <c r="L216">
        <v>597</v>
      </c>
      <c r="M216" s="9">
        <v>5.7266571574000002E-4</v>
      </c>
      <c r="N216">
        <v>423068</v>
      </c>
      <c r="O216" s="9">
        <v>0.40582334845000001</v>
      </c>
      <c r="P216">
        <v>473012</v>
      </c>
      <c r="Q216" s="9">
        <v>0.45373158381000001</v>
      </c>
      <c r="R216">
        <f>Telengana_Results_2024[[#This Row],[BJP votes]]-Telengana_Results_2024[[#This Row],[Max Votes Other Than BJP]]</f>
        <v>49944</v>
      </c>
      <c r="S216" s="10">
        <f>Telengana_Results_2024[[#This Row],[BJP vote share]]-Telengana_Results_2024[[#This Row],[Max Vote share other than bjp ]]</f>
        <v>4.7908235359999995E-2</v>
      </c>
      <c r="T216">
        <v>2120550</v>
      </c>
      <c r="U216" s="8">
        <v>0.49449623918000002</v>
      </c>
      <c r="V216" s="1" t="s">
        <v>26</v>
      </c>
    </row>
    <row r="217" spans="1:22" x14ac:dyDescent="0.35">
      <c r="A217">
        <v>2024</v>
      </c>
      <c r="B217" s="1" t="s">
        <v>19</v>
      </c>
      <c r="C217" s="1" t="s">
        <v>546</v>
      </c>
      <c r="D217" s="1" t="s">
        <v>1052</v>
      </c>
      <c r="E217" s="1" t="s">
        <v>21</v>
      </c>
      <c r="F217" s="1" t="s">
        <v>234</v>
      </c>
      <c r="G217" s="1" t="s">
        <v>112</v>
      </c>
      <c r="H217" s="1" t="s">
        <v>1053</v>
      </c>
      <c r="I217" s="1" t="s">
        <v>846</v>
      </c>
      <c r="J217">
        <v>1048604</v>
      </c>
      <c r="K217">
        <v>1042493</v>
      </c>
      <c r="L217">
        <v>484</v>
      </c>
      <c r="M217" s="9">
        <v>4.6427170254000001E-4</v>
      </c>
      <c r="N217">
        <v>423068</v>
      </c>
      <c r="O217" s="9">
        <v>0.40582334845000001</v>
      </c>
      <c r="P217">
        <v>473012</v>
      </c>
      <c r="Q217" s="9">
        <v>0.45373158381000001</v>
      </c>
      <c r="R217">
        <f>Telengana_Results_2024[[#This Row],[BJP votes]]-Telengana_Results_2024[[#This Row],[Max Votes Other Than BJP]]</f>
        <v>49944</v>
      </c>
      <c r="S217" s="10">
        <f>Telengana_Results_2024[[#This Row],[BJP vote share]]-Telengana_Results_2024[[#This Row],[Max Vote share other than bjp ]]</f>
        <v>4.7908235359999995E-2</v>
      </c>
      <c r="T217">
        <v>2120550</v>
      </c>
      <c r="U217" s="8">
        <v>0.49449623918000002</v>
      </c>
      <c r="V217" s="1" t="s">
        <v>26</v>
      </c>
    </row>
    <row r="218" spans="1:22" x14ac:dyDescent="0.35">
      <c r="A218">
        <v>2024</v>
      </c>
      <c r="B218" s="1" t="s">
        <v>19</v>
      </c>
      <c r="C218" s="1" t="s">
        <v>546</v>
      </c>
      <c r="D218" s="1" t="s">
        <v>1054</v>
      </c>
      <c r="E218" s="1" t="s">
        <v>21</v>
      </c>
      <c r="F218" s="1" t="s">
        <v>117</v>
      </c>
      <c r="G218" s="1" t="s">
        <v>23</v>
      </c>
      <c r="H218" s="1" t="s">
        <v>53</v>
      </c>
      <c r="I218" s="1" t="s">
        <v>184</v>
      </c>
      <c r="J218">
        <v>1048604</v>
      </c>
      <c r="K218">
        <v>1042493</v>
      </c>
      <c r="L218">
        <v>474</v>
      </c>
      <c r="M218" s="9">
        <v>4.5467931199999999E-4</v>
      </c>
      <c r="N218">
        <v>423068</v>
      </c>
      <c r="O218" s="9">
        <v>0.40582334845000001</v>
      </c>
      <c r="P218">
        <v>473012</v>
      </c>
      <c r="Q218" s="9">
        <v>0.45373158381000001</v>
      </c>
      <c r="R218">
        <f>Telengana_Results_2024[[#This Row],[BJP votes]]-Telengana_Results_2024[[#This Row],[Max Votes Other Than BJP]]</f>
        <v>49944</v>
      </c>
      <c r="S218" s="10">
        <f>Telengana_Results_2024[[#This Row],[BJP vote share]]-Telengana_Results_2024[[#This Row],[Max Vote share other than bjp ]]</f>
        <v>4.7908235359999995E-2</v>
      </c>
      <c r="T218">
        <v>2120550</v>
      </c>
      <c r="U218" s="8">
        <v>0.49449623918000002</v>
      </c>
      <c r="V218" s="1" t="s">
        <v>26</v>
      </c>
    </row>
    <row r="219" spans="1:22" x14ac:dyDescent="0.35">
      <c r="A219">
        <v>2024</v>
      </c>
      <c r="B219" s="1" t="s">
        <v>19</v>
      </c>
      <c r="C219" s="1" t="s">
        <v>546</v>
      </c>
      <c r="D219" s="1" t="s">
        <v>1055</v>
      </c>
      <c r="E219" s="1" t="s">
        <v>35</v>
      </c>
      <c r="F219" s="1" t="s">
        <v>176</v>
      </c>
      <c r="G219" s="1" t="s">
        <v>112</v>
      </c>
      <c r="H219" s="1" t="s">
        <v>53</v>
      </c>
      <c r="I219" s="1" t="s">
        <v>463</v>
      </c>
      <c r="J219">
        <v>1048604</v>
      </c>
      <c r="K219">
        <v>1042493</v>
      </c>
      <c r="L219">
        <v>418</v>
      </c>
      <c r="M219" s="9">
        <v>4.0096192491999999E-4</v>
      </c>
      <c r="N219">
        <v>423068</v>
      </c>
      <c r="O219" s="9">
        <v>0.40582334845000001</v>
      </c>
      <c r="P219">
        <v>473012</v>
      </c>
      <c r="Q219" s="9">
        <v>0.45373158381000001</v>
      </c>
      <c r="R219">
        <f>Telengana_Results_2024[[#This Row],[BJP votes]]-Telengana_Results_2024[[#This Row],[Max Votes Other Than BJP]]</f>
        <v>49944</v>
      </c>
      <c r="S219" s="10">
        <f>Telengana_Results_2024[[#This Row],[BJP vote share]]-Telengana_Results_2024[[#This Row],[Max Vote share other than bjp ]]</f>
        <v>4.7908235359999995E-2</v>
      </c>
      <c r="T219">
        <v>2120550</v>
      </c>
      <c r="U219" s="8">
        <v>0.49449623918000002</v>
      </c>
      <c r="V219" s="1" t="s">
        <v>26</v>
      </c>
    </row>
    <row r="220" spans="1:22" x14ac:dyDescent="0.35">
      <c r="A220">
        <v>2024</v>
      </c>
      <c r="B220" s="1" t="s">
        <v>19</v>
      </c>
      <c r="C220" s="1" t="s">
        <v>546</v>
      </c>
      <c r="D220" s="1" t="s">
        <v>1056</v>
      </c>
      <c r="E220" s="1" t="s">
        <v>21</v>
      </c>
      <c r="F220" s="1" t="s">
        <v>173</v>
      </c>
      <c r="G220" s="1" t="s">
        <v>112</v>
      </c>
      <c r="H220" s="1" t="s">
        <v>795</v>
      </c>
      <c r="I220" s="1" t="s">
        <v>841</v>
      </c>
      <c r="J220">
        <v>1048604</v>
      </c>
      <c r="K220">
        <v>1042493</v>
      </c>
      <c r="L220">
        <v>410</v>
      </c>
      <c r="M220" s="9">
        <v>3.9328801249000002E-4</v>
      </c>
      <c r="N220">
        <v>423068</v>
      </c>
      <c r="O220" s="9">
        <v>0.40582334845000001</v>
      </c>
      <c r="P220">
        <v>473012</v>
      </c>
      <c r="Q220" s="9">
        <v>0.45373158381000001</v>
      </c>
      <c r="R220">
        <f>Telengana_Results_2024[[#This Row],[BJP votes]]-Telengana_Results_2024[[#This Row],[Max Votes Other Than BJP]]</f>
        <v>49944</v>
      </c>
      <c r="S220" s="10">
        <f>Telengana_Results_2024[[#This Row],[BJP vote share]]-Telengana_Results_2024[[#This Row],[Max Vote share other than bjp ]]</f>
        <v>4.7908235359999995E-2</v>
      </c>
      <c r="T220">
        <v>2120550</v>
      </c>
      <c r="U220" s="8">
        <v>0.49449623918000002</v>
      </c>
      <c r="V220" s="1" t="s">
        <v>26</v>
      </c>
    </row>
    <row r="221" spans="1:22" x14ac:dyDescent="0.35">
      <c r="A221">
        <v>2024</v>
      </c>
      <c r="B221" s="1" t="s">
        <v>19</v>
      </c>
      <c r="C221" s="1" t="s">
        <v>546</v>
      </c>
      <c r="D221" s="1" t="s">
        <v>1057</v>
      </c>
      <c r="E221" s="1" t="s">
        <v>21</v>
      </c>
      <c r="F221" s="1" t="s">
        <v>48</v>
      </c>
      <c r="G221" s="1" t="s">
        <v>112</v>
      </c>
      <c r="H221" s="1" t="s">
        <v>53</v>
      </c>
      <c r="I221" s="1" t="s">
        <v>339</v>
      </c>
      <c r="J221">
        <v>1048604</v>
      </c>
      <c r="K221">
        <v>1042493</v>
      </c>
      <c r="L221">
        <v>342</v>
      </c>
      <c r="M221" s="9">
        <v>3.2805975676E-4</v>
      </c>
      <c r="N221">
        <v>423068</v>
      </c>
      <c r="O221" s="9">
        <v>0.40582334845000001</v>
      </c>
      <c r="P221">
        <v>473012</v>
      </c>
      <c r="Q221" s="9">
        <v>0.45373158381000001</v>
      </c>
      <c r="R221">
        <f>Telengana_Results_2024[[#This Row],[BJP votes]]-Telengana_Results_2024[[#This Row],[Max Votes Other Than BJP]]</f>
        <v>49944</v>
      </c>
      <c r="S221" s="10">
        <f>Telengana_Results_2024[[#This Row],[BJP vote share]]-Telengana_Results_2024[[#This Row],[Max Vote share other than bjp ]]</f>
        <v>4.7908235359999995E-2</v>
      </c>
      <c r="T221">
        <v>2120550</v>
      </c>
      <c r="U221" s="8">
        <v>0.49449623918000002</v>
      </c>
      <c r="V221" s="1" t="s">
        <v>26</v>
      </c>
    </row>
    <row r="222" spans="1:22" x14ac:dyDescent="0.35">
      <c r="A222">
        <v>2024</v>
      </c>
      <c r="B222" s="1" t="s">
        <v>19</v>
      </c>
      <c r="C222" s="1" t="s">
        <v>546</v>
      </c>
      <c r="D222" s="1" t="s">
        <v>1058</v>
      </c>
      <c r="E222" s="1" t="s">
        <v>21</v>
      </c>
      <c r="F222" s="1" t="s">
        <v>52</v>
      </c>
      <c r="G222" s="1" t="s">
        <v>112</v>
      </c>
      <c r="H222" s="1" t="s">
        <v>53</v>
      </c>
      <c r="I222" s="1" t="s">
        <v>818</v>
      </c>
      <c r="J222">
        <v>1048604</v>
      </c>
      <c r="K222">
        <v>1042493</v>
      </c>
      <c r="L222">
        <v>340</v>
      </c>
      <c r="M222" s="9">
        <v>3.2614127865E-4</v>
      </c>
      <c r="N222">
        <v>423068</v>
      </c>
      <c r="O222" s="9">
        <v>0.40582334845000001</v>
      </c>
      <c r="P222">
        <v>473012</v>
      </c>
      <c r="Q222" s="9">
        <v>0.45373158381000001</v>
      </c>
      <c r="R222">
        <f>Telengana_Results_2024[[#This Row],[BJP votes]]-Telengana_Results_2024[[#This Row],[Max Votes Other Than BJP]]</f>
        <v>49944</v>
      </c>
      <c r="S222" s="10">
        <f>Telengana_Results_2024[[#This Row],[BJP vote share]]-Telengana_Results_2024[[#This Row],[Max Vote share other than bjp ]]</f>
        <v>4.7908235359999995E-2</v>
      </c>
      <c r="T222">
        <v>2120550</v>
      </c>
      <c r="U222" s="8">
        <v>0.49449623918000002</v>
      </c>
      <c r="V222" s="1" t="s">
        <v>26</v>
      </c>
    </row>
    <row r="223" spans="1:22" x14ac:dyDescent="0.35">
      <c r="A223">
        <v>2024</v>
      </c>
      <c r="B223" s="1" t="s">
        <v>19</v>
      </c>
      <c r="C223" s="1" t="s">
        <v>546</v>
      </c>
      <c r="D223" s="1" t="s">
        <v>1059</v>
      </c>
      <c r="E223" s="1" t="s">
        <v>21</v>
      </c>
      <c r="F223" s="1" t="s">
        <v>125</v>
      </c>
      <c r="G223" s="1" t="s">
        <v>112</v>
      </c>
      <c r="H223" s="1" t="s">
        <v>53</v>
      </c>
      <c r="I223" s="1" t="s">
        <v>129</v>
      </c>
      <c r="J223">
        <v>1048604</v>
      </c>
      <c r="K223">
        <v>1042493</v>
      </c>
      <c r="L223">
        <v>320</v>
      </c>
      <c r="M223" s="9">
        <v>3.0695649755E-4</v>
      </c>
      <c r="N223">
        <v>423068</v>
      </c>
      <c r="O223" s="9">
        <v>0.40582334845000001</v>
      </c>
      <c r="P223">
        <v>473012</v>
      </c>
      <c r="Q223" s="9">
        <v>0.45373158381000001</v>
      </c>
      <c r="R223">
        <f>Telengana_Results_2024[[#This Row],[BJP votes]]-Telengana_Results_2024[[#This Row],[Max Votes Other Than BJP]]</f>
        <v>49944</v>
      </c>
      <c r="S223" s="10">
        <f>Telengana_Results_2024[[#This Row],[BJP vote share]]-Telengana_Results_2024[[#This Row],[Max Vote share other than bjp ]]</f>
        <v>4.7908235359999995E-2</v>
      </c>
      <c r="T223">
        <v>2120550</v>
      </c>
      <c r="U223" s="8">
        <v>0.49449623918000002</v>
      </c>
      <c r="V223" s="1" t="s">
        <v>26</v>
      </c>
    </row>
    <row r="224" spans="1:22" x14ac:dyDescent="0.35">
      <c r="A224">
        <v>2024</v>
      </c>
      <c r="B224" s="1" t="s">
        <v>19</v>
      </c>
      <c r="C224" s="1" t="s">
        <v>546</v>
      </c>
      <c r="D224" s="1" t="s">
        <v>1060</v>
      </c>
      <c r="E224" s="1" t="s">
        <v>21</v>
      </c>
      <c r="F224" s="1" t="s">
        <v>160</v>
      </c>
      <c r="G224" s="1" t="s">
        <v>112</v>
      </c>
      <c r="H224" s="1" t="s">
        <v>53</v>
      </c>
      <c r="I224" s="1" t="s">
        <v>46</v>
      </c>
      <c r="J224">
        <v>1048604</v>
      </c>
      <c r="K224">
        <v>1042493</v>
      </c>
      <c r="L224">
        <v>315</v>
      </c>
      <c r="M224" s="9">
        <v>3.0216030228000002E-4</v>
      </c>
      <c r="N224">
        <v>423068</v>
      </c>
      <c r="O224" s="9">
        <v>0.40582334845000001</v>
      </c>
      <c r="P224">
        <v>473012</v>
      </c>
      <c r="Q224" s="9">
        <v>0.45373158381000001</v>
      </c>
      <c r="R224">
        <f>Telengana_Results_2024[[#This Row],[BJP votes]]-Telengana_Results_2024[[#This Row],[Max Votes Other Than BJP]]</f>
        <v>49944</v>
      </c>
      <c r="S224" s="10">
        <f>Telengana_Results_2024[[#This Row],[BJP vote share]]-Telengana_Results_2024[[#This Row],[Max Vote share other than bjp ]]</f>
        <v>4.7908235359999995E-2</v>
      </c>
      <c r="T224">
        <v>2120550</v>
      </c>
      <c r="U224" s="8">
        <v>0.49449623918000002</v>
      </c>
      <c r="V224" s="1" t="s">
        <v>26</v>
      </c>
    </row>
    <row r="225" spans="1:22" x14ac:dyDescent="0.35">
      <c r="A225">
        <v>2024</v>
      </c>
      <c r="B225" s="1" t="s">
        <v>19</v>
      </c>
      <c r="C225" s="1" t="s">
        <v>546</v>
      </c>
      <c r="D225" s="1" t="s">
        <v>569</v>
      </c>
      <c r="E225" s="1" t="s">
        <v>21</v>
      </c>
      <c r="F225" s="1" t="s">
        <v>95</v>
      </c>
      <c r="G225" s="1" t="s">
        <v>112</v>
      </c>
      <c r="H225" s="1" t="s">
        <v>53</v>
      </c>
      <c r="I225" s="1" t="s">
        <v>208</v>
      </c>
      <c r="J225">
        <v>1048604</v>
      </c>
      <c r="K225">
        <v>1042493</v>
      </c>
      <c r="L225">
        <v>295</v>
      </c>
      <c r="M225" s="9">
        <v>2.8297552118000002E-4</v>
      </c>
      <c r="N225">
        <v>423068</v>
      </c>
      <c r="O225" s="9">
        <v>0.40582334845000001</v>
      </c>
      <c r="P225">
        <v>473012</v>
      </c>
      <c r="Q225" s="9">
        <v>0.45373158381000001</v>
      </c>
      <c r="R225">
        <f>Telengana_Results_2024[[#This Row],[BJP votes]]-Telengana_Results_2024[[#This Row],[Max Votes Other Than BJP]]</f>
        <v>49944</v>
      </c>
      <c r="S225" s="10">
        <f>Telengana_Results_2024[[#This Row],[BJP vote share]]-Telengana_Results_2024[[#This Row],[Max Vote share other than bjp ]]</f>
        <v>4.7908235359999995E-2</v>
      </c>
      <c r="T225">
        <v>2120550</v>
      </c>
      <c r="U225" s="8">
        <v>0.49449623918000002</v>
      </c>
      <c r="V225" s="1" t="s">
        <v>26</v>
      </c>
    </row>
    <row r="226" spans="1:22" x14ac:dyDescent="0.35">
      <c r="A226">
        <v>2024</v>
      </c>
      <c r="B226" s="1" t="s">
        <v>19</v>
      </c>
      <c r="C226" s="1" t="s">
        <v>546</v>
      </c>
      <c r="D226" s="1" t="s">
        <v>1061</v>
      </c>
      <c r="E226" s="1" t="s">
        <v>21</v>
      </c>
      <c r="F226" s="1" t="s">
        <v>125</v>
      </c>
      <c r="G226" s="1" t="s">
        <v>112</v>
      </c>
      <c r="H226" s="1" t="s">
        <v>1062</v>
      </c>
      <c r="I226" s="1" t="s">
        <v>133</v>
      </c>
      <c r="J226">
        <v>1048604</v>
      </c>
      <c r="K226">
        <v>1042493</v>
      </c>
      <c r="L226">
        <v>285</v>
      </c>
      <c r="M226" s="9">
        <v>2.7338313063000002E-4</v>
      </c>
      <c r="N226">
        <v>423068</v>
      </c>
      <c r="O226" s="9">
        <v>0.40582334845000001</v>
      </c>
      <c r="P226">
        <v>473012</v>
      </c>
      <c r="Q226" s="9">
        <v>0.45373158381000001</v>
      </c>
      <c r="R226">
        <f>Telengana_Results_2024[[#This Row],[BJP votes]]-Telengana_Results_2024[[#This Row],[Max Votes Other Than BJP]]</f>
        <v>49944</v>
      </c>
      <c r="S226" s="10">
        <f>Telengana_Results_2024[[#This Row],[BJP vote share]]-Telengana_Results_2024[[#This Row],[Max Vote share other than bjp ]]</f>
        <v>4.7908235359999995E-2</v>
      </c>
      <c r="T226">
        <v>2120550</v>
      </c>
      <c r="U226" s="8">
        <v>0.49449623918000002</v>
      </c>
      <c r="V226" s="1" t="s">
        <v>26</v>
      </c>
    </row>
    <row r="227" spans="1:22" x14ac:dyDescent="0.35">
      <c r="A227">
        <v>2024</v>
      </c>
      <c r="B227" s="1" t="s">
        <v>19</v>
      </c>
      <c r="C227" s="1" t="s">
        <v>546</v>
      </c>
      <c r="D227" s="1" t="s">
        <v>1063</v>
      </c>
      <c r="E227" s="1" t="s">
        <v>21</v>
      </c>
      <c r="F227" s="1" t="s">
        <v>155</v>
      </c>
      <c r="G227" s="1" t="s">
        <v>112</v>
      </c>
      <c r="H227" s="1" t="s">
        <v>966</v>
      </c>
      <c r="I227" s="1" t="s">
        <v>54</v>
      </c>
      <c r="J227">
        <v>1048604</v>
      </c>
      <c r="K227">
        <v>1042493</v>
      </c>
      <c r="L227">
        <v>281</v>
      </c>
      <c r="M227" s="9">
        <v>2.6954617441000002E-4</v>
      </c>
      <c r="N227">
        <v>423068</v>
      </c>
      <c r="O227" s="9">
        <v>0.40582334845000001</v>
      </c>
      <c r="P227">
        <v>473012</v>
      </c>
      <c r="Q227" s="9">
        <v>0.45373158381000001</v>
      </c>
      <c r="R227">
        <f>Telengana_Results_2024[[#This Row],[BJP votes]]-Telengana_Results_2024[[#This Row],[Max Votes Other Than BJP]]</f>
        <v>49944</v>
      </c>
      <c r="S227" s="10">
        <f>Telengana_Results_2024[[#This Row],[BJP vote share]]-Telengana_Results_2024[[#This Row],[Max Vote share other than bjp ]]</f>
        <v>4.7908235359999995E-2</v>
      </c>
      <c r="T227">
        <v>2120550</v>
      </c>
      <c r="U227" s="8">
        <v>0.49449623918000002</v>
      </c>
      <c r="V227" s="1" t="s">
        <v>26</v>
      </c>
    </row>
    <row r="228" spans="1:22" x14ac:dyDescent="0.35">
      <c r="A228">
        <v>2024</v>
      </c>
      <c r="B228" s="1" t="s">
        <v>19</v>
      </c>
      <c r="C228" s="1" t="s">
        <v>546</v>
      </c>
      <c r="D228" s="1" t="s">
        <v>1064</v>
      </c>
      <c r="E228" s="1" t="s">
        <v>21</v>
      </c>
      <c r="F228" s="1" t="s">
        <v>362</v>
      </c>
      <c r="G228" s="1" t="s">
        <v>67</v>
      </c>
      <c r="H228" s="1" t="s">
        <v>53</v>
      </c>
      <c r="I228" s="1" t="s">
        <v>1065</v>
      </c>
      <c r="J228">
        <v>1048604</v>
      </c>
      <c r="K228">
        <v>1042493</v>
      </c>
      <c r="L228">
        <v>274</v>
      </c>
      <c r="M228" s="9">
        <v>2.6283150102999998E-4</v>
      </c>
      <c r="N228">
        <v>423068</v>
      </c>
      <c r="O228" s="9">
        <v>0.40582334845000001</v>
      </c>
      <c r="P228">
        <v>473012</v>
      </c>
      <c r="Q228" s="9">
        <v>0.45373158381000001</v>
      </c>
      <c r="R228">
        <f>Telengana_Results_2024[[#This Row],[BJP votes]]-Telengana_Results_2024[[#This Row],[Max Votes Other Than BJP]]</f>
        <v>49944</v>
      </c>
      <c r="S228" s="10">
        <f>Telengana_Results_2024[[#This Row],[BJP vote share]]-Telengana_Results_2024[[#This Row],[Max Vote share other than bjp ]]</f>
        <v>4.7908235359999995E-2</v>
      </c>
      <c r="T228">
        <v>2120550</v>
      </c>
      <c r="U228" s="8">
        <v>0.49449623918000002</v>
      </c>
      <c r="V228" s="1" t="s">
        <v>26</v>
      </c>
    </row>
    <row r="229" spans="1:22" x14ac:dyDescent="0.35">
      <c r="A229">
        <v>2024</v>
      </c>
      <c r="B229" s="1" t="s">
        <v>19</v>
      </c>
      <c r="C229" s="1" t="s">
        <v>546</v>
      </c>
      <c r="D229" s="1" t="s">
        <v>1066</v>
      </c>
      <c r="E229" s="1" t="s">
        <v>35</v>
      </c>
      <c r="F229" s="1" t="s">
        <v>165</v>
      </c>
      <c r="G229" s="1" t="s">
        <v>112</v>
      </c>
      <c r="H229" s="1" t="s">
        <v>536</v>
      </c>
      <c r="I229" s="1" t="s">
        <v>823</v>
      </c>
      <c r="J229">
        <v>1048604</v>
      </c>
      <c r="K229">
        <v>1042493</v>
      </c>
      <c r="L229">
        <v>272</v>
      </c>
      <c r="M229" s="9">
        <v>2.6091302291999998E-4</v>
      </c>
      <c r="N229">
        <v>423068</v>
      </c>
      <c r="O229" s="9">
        <v>0.40582334845000001</v>
      </c>
      <c r="P229">
        <v>473012</v>
      </c>
      <c r="Q229" s="9">
        <v>0.45373158381000001</v>
      </c>
      <c r="R229">
        <f>Telengana_Results_2024[[#This Row],[BJP votes]]-Telengana_Results_2024[[#This Row],[Max Votes Other Than BJP]]</f>
        <v>49944</v>
      </c>
      <c r="S229" s="10">
        <f>Telengana_Results_2024[[#This Row],[BJP vote share]]-Telengana_Results_2024[[#This Row],[Max Vote share other than bjp ]]</f>
        <v>4.7908235359999995E-2</v>
      </c>
      <c r="T229">
        <v>2120550</v>
      </c>
      <c r="U229" s="8">
        <v>0.49449623918000002</v>
      </c>
      <c r="V229" s="1" t="s">
        <v>26</v>
      </c>
    </row>
    <row r="230" spans="1:22" x14ac:dyDescent="0.35">
      <c r="A230">
        <v>2024</v>
      </c>
      <c r="B230" s="1" t="s">
        <v>19</v>
      </c>
      <c r="C230" s="1" t="s">
        <v>546</v>
      </c>
      <c r="D230" s="1" t="s">
        <v>572</v>
      </c>
      <c r="E230" s="1" t="s">
        <v>21</v>
      </c>
      <c r="F230" s="1" t="s">
        <v>22</v>
      </c>
      <c r="G230" s="1" t="s">
        <v>67</v>
      </c>
      <c r="H230" s="1" t="s">
        <v>53</v>
      </c>
      <c r="I230" s="1" t="s">
        <v>232</v>
      </c>
      <c r="J230">
        <v>1048604</v>
      </c>
      <c r="K230">
        <v>1042493</v>
      </c>
      <c r="L230">
        <v>252</v>
      </c>
      <c r="M230" s="9">
        <v>2.4172824182000001E-4</v>
      </c>
      <c r="N230">
        <v>423068</v>
      </c>
      <c r="O230" s="9">
        <v>0.40582334845000001</v>
      </c>
      <c r="P230">
        <v>473012</v>
      </c>
      <c r="Q230" s="9">
        <v>0.45373158381000001</v>
      </c>
      <c r="R230">
        <f>Telengana_Results_2024[[#This Row],[BJP votes]]-Telengana_Results_2024[[#This Row],[Max Votes Other Than BJP]]</f>
        <v>49944</v>
      </c>
      <c r="S230" s="10">
        <f>Telengana_Results_2024[[#This Row],[BJP vote share]]-Telengana_Results_2024[[#This Row],[Max Vote share other than bjp ]]</f>
        <v>4.7908235359999995E-2</v>
      </c>
      <c r="T230">
        <v>2120550</v>
      </c>
      <c r="U230" s="8">
        <v>0.49449623918000002</v>
      </c>
      <c r="V230" s="1" t="s">
        <v>26</v>
      </c>
    </row>
    <row r="231" spans="1:22" x14ac:dyDescent="0.35">
      <c r="A231">
        <v>2024</v>
      </c>
      <c r="B231" s="1" t="s">
        <v>19</v>
      </c>
      <c r="C231" s="1" t="s">
        <v>546</v>
      </c>
      <c r="D231" s="1" t="s">
        <v>1067</v>
      </c>
      <c r="E231" s="1" t="s">
        <v>21</v>
      </c>
      <c r="F231" s="1" t="s">
        <v>362</v>
      </c>
      <c r="G231" s="1" t="s">
        <v>67</v>
      </c>
      <c r="H231" s="1" t="s">
        <v>53</v>
      </c>
      <c r="I231" s="1" t="s">
        <v>425</v>
      </c>
      <c r="J231">
        <v>1048604</v>
      </c>
      <c r="K231">
        <v>1042493</v>
      </c>
      <c r="L231">
        <v>243</v>
      </c>
      <c r="M231" s="9">
        <v>2.3309509032999999E-4</v>
      </c>
      <c r="N231">
        <v>423068</v>
      </c>
      <c r="O231" s="9">
        <v>0.40582334845000001</v>
      </c>
      <c r="P231">
        <v>473012</v>
      </c>
      <c r="Q231" s="9">
        <v>0.45373158381000001</v>
      </c>
      <c r="R231">
        <f>Telengana_Results_2024[[#This Row],[BJP votes]]-Telengana_Results_2024[[#This Row],[Max Votes Other Than BJP]]</f>
        <v>49944</v>
      </c>
      <c r="S231" s="10">
        <f>Telengana_Results_2024[[#This Row],[BJP vote share]]-Telengana_Results_2024[[#This Row],[Max Vote share other than bjp ]]</f>
        <v>4.7908235359999995E-2</v>
      </c>
      <c r="T231">
        <v>2120550</v>
      </c>
      <c r="U231" s="8">
        <v>0.49449623918000002</v>
      </c>
      <c r="V231" s="1" t="s">
        <v>26</v>
      </c>
    </row>
    <row r="232" spans="1:22" x14ac:dyDescent="0.35">
      <c r="A232">
        <v>2024</v>
      </c>
      <c r="B232" s="1" t="s">
        <v>19</v>
      </c>
      <c r="C232" s="1" t="s">
        <v>546</v>
      </c>
      <c r="D232" s="1" t="s">
        <v>1068</v>
      </c>
      <c r="E232" s="1" t="s">
        <v>21</v>
      </c>
      <c r="F232" s="1" t="s">
        <v>120</v>
      </c>
      <c r="G232" s="1" t="s">
        <v>112</v>
      </c>
      <c r="H232" s="1" t="s">
        <v>53</v>
      </c>
      <c r="I232" s="1" t="s">
        <v>457</v>
      </c>
      <c r="J232">
        <v>1048604</v>
      </c>
      <c r="K232">
        <v>1042493</v>
      </c>
      <c r="L232">
        <v>242</v>
      </c>
      <c r="M232" s="9">
        <v>2.3213585127000001E-4</v>
      </c>
      <c r="N232">
        <v>423068</v>
      </c>
      <c r="O232" s="9">
        <v>0.40582334845000001</v>
      </c>
      <c r="P232">
        <v>473012</v>
      </c>
      <c r="Q232" s="9">
        <v>0.45373158381000001</v>
      </c>
      <c r="R232">
        <f>Telengana_Results_2024[[#This Row],[BJP votes]]-Telengana_Results_2024[[#This Row],[Max Votes Other Than BJP]]</f>
        <v>49944</v>
      </c>
      <c r="S232" s="10">
        <f>Telengana_Results_2024[[#This Row],[BJP vote share]]-Telengana_Results_2024[[#This Row],[Max Vote share other than bjp ]]</f>
        <v>4.7908235359999995E-2</v>
      </c>
      <c r="T232">
        <v>2120550</v>
      </c>
      <c r="U232" s="8">
        <v>0.49449623918000002</v>
      </c>
      <c r="V232" s="1" t="s">
        <v>26</v>
      </c>
    </row>
    <row r="233" spans="1:22" x14ac:dyDescent="0.35">
      <c r="A233">
        <v>2024</v>
      </c>
      <c r="B233" s="1" t="s">
        <v>19</v>
      </c>
      <c r="C233" s="1" t="s">
        <v>546</v>
      </c>
      <c r="D233" s="1" t="s">
        <v>1069</v>
      </c>
      <c r="E233" s="1" t="s">
        <v>35</v>
      </c>
      <c r="F233" s="1" t="s">
        <v>75</v>
      </c>
      <c r="G233" s="1" t="s">
        <v>67</v>
      </c>
      <c r="H233" s="1" t="s">
        <v>1034</v>
      </c>
      <c r="I233" s="1" t="s">
        <v>167</v>
      </c>
      <c r="J233">
        <v>1048604</v>
      </c>
      <c r="K233">
        <v>1042493</v>
      </c>
      <c r="L233">
        <v>223</v>
      </c>
      <c r="M233" s="9">
        <v>2.1391030922999999E-4</v>
      </c>
      <c r="N233">
        <v>423068</v>
      </c>
      <c r="O233" s="9">
        <v>0.40582334845000001</v>
      </c>
      <c r="P233">
        <v>473012</v>
      </c>
      <c r="Q233" s="9">
        <v>0.45373158381000001</v>
      </c>
      <c r="R233">
        <f>Telengana_Results_2024[[#This Row],[BJP votes]]-Telengana_Results_2024[[#This Row],[Max Votes Other Than BJP]]</f>
        <v>49944</v>
      </c>
      <c r="S233" s="10">
        <f>Telengana_Results_2024[[#This Row],[BJP vote share]]-Telengana_Results_2024[[#This Row],[Max Vote share other than bjp ]]</f>
        <v>4.7908235359999995E-2</v>
      </c>
      <c r="T233">
        <v>2120550</v>
      </c>
      <c r="U233" s="8">
        <v>0.49449623918000002</v>
      </c>
      <c r="V233" s="1" t="s">
        <v>26</v>
      </c>
    </row>
    <row r="234" spans="1:22" x14ac:dyDescent="0.35">
      <c r="A234">
        <v>2024</v>
      </c>
      <c r="B234" s="1" t="s">
        <v>19</v>
      </c>
      <c r="C234" s="1" t="s">
        <v>546</v>
      </c>
      <c r="D234" s="1" t="s">
        <v>1070</v>
      </c>
      <c r="E234" s="1" t="s">
        <v>35</v>
      </c>
      <c r="F234" s="1" t="s">
        <v>183</v>
      </c>
      <c r="G234" s="1" t="s">
        <v>67</v>
      </c>
      <c r="H234" s="1" t="s">
        <v>53</v>
      </c>
      <c r="I234" s="1" t="s">
        <v>826</v>
      </c>
      <c r="J234">
        <v>1048604</v>
      </c>
      <c r="K234">
        <v>1042493</v>
      </c>
      <c r="L234">
        <v>223</v>
      </c>
      <c r="M234" s="9">
        <v>2.1391030922999999E-4</v>
      </c>
      <c r="N234">
        <v>423068</v>
      </c>
      <c r="O234" s="9">
        <v>0.40582334845000001</v>
      </c>
      <c r="P234">
        <v>473012</v>
      </c>
      <c r="Q234" s="9">
        <v>0.45373158381000001</v>
      </c>
      <c r="R234">
        <f>Telengana_Results_2024[[#This Row],[BJP votes]]-Telengana_Results_2024[[#This Row],[Max Votes Other Than BJP]]</f>
        <v>49944</v>
      </c>
      <c r="S234" s="10">
        <f>Telengana_Results_2024[[#This Row],[BJP vote share]]-Telengana_Results_2024[[#This Row],[Max Vote share other than bjp ]]</f>
        <v>4.7908235359999995E-2</v>
      </c>
      <c r="T234">
        <v>2120550</v>
      </c>
      <c r="U234" s="8">
        <v>0.49449623918000002</v>
      </c>
      <c r="V234" s="1" t="s">
        <v>26</v>
      </c>
    </row>
    <row r="235" spans="1:22" x14ac:dyDescent="0.35">
      <c r="A235">
        <v>2024</v>
      </c>
      <c r="B235" s="1" t="s">
        <v>19</v>
      </c>
      <c r="C235" s="1" t="s">
        <v>546</v>
      </c>
      <c r="D235" s="1" t="s">
        <v>592</v>
      </c>
      <c r="E235" s="1" t="s">
        <v>21</v>
      </c>
      <c r="F235" s="1" t="s">
        <v>52</v>
      </c>
      <c r="G235" s="1" t="s">
        <v>112</v>
      </c>
      <c r="H235" s="1" t="s">
        <v>53</v>
      </c>
      <c r="I235" s="1" t="s">
        <v>139</v>
      </c>
      <c r="J235">
        <v>1048604</v>
      </c>
      <c r="K235">
        <v>1042493</v>
      </c>
      <c r="L235">
        <v>221</v>
      </c>
      <c r="M235" s="9">
        <v>2.1199183111999999E-4</v>
      </c>
      <c r="N235">
        <v>423068</v>
      </c>
      <c r="O235" s="9">
        <v>0.40582334845000001</v>
      </c>
      <c r="P235">
        <v>473012</v>
      </c>
      <c r="Q235" s="9">
        <v>0.45373158381000001</v>
      </c>
      <c r="R235">
        <f>Telengana_Results_2024[[#This Row],[BJP votes]]-Telengana_Results_2024[[#This Row],[Max Votes Other Than BJP]]</f>
        <v>49944</v>
      </c>
      <c r="S235" s="10">
        <f>Telengana_Results_2024[[#This Row],[BJP vote share]]-Telengana_Results_2024[[#This Row],[Max Vote share other than bjp ]]</f>
        <v>4.7908235359999995E-2</v>
      </c>
      <c r="T235">
        <v>2120550</v>
      </c>
      <c r="U235" s="8">
        <v>0.49449623918000002</v>
      </c>
      <c r="V235" s="1" t="s">
        <v>26</v>
      </c>
    </row>
    <row r="236" spans="1:22" x14ac:dyDescent="0.35">
      <c r="A236">
        <v>2024</v>
      </c>
      <c r="B236" s="1" t="s">
        <v>19</v>
      </c>
      <c r="C236" s="1" t="s">
        <v>546</v>
      </c>
      <c r="D236" s="1" t="s">
        <v>1071</v>
      </c>
      <c r="E236" s="1" t="s">
        <v>35</v>
      </c>
      <c r="F236" s="1" t="s">
        <v>66</v>
      </c>
      <c r="G236" s="1" t="s">
        <v>112</v>
      </c>
      <c r="H236" s="1" t="s">
        <v>53</v>
      </c>
      <c r="I236" s="1" t="s">
        <v>890</v>
      </c>
      <c r="J236">
        <v>1048604</v>
      </c>
      <c r="K236">
        <v>1042493</v>
      </c>
      <c r="L236">
        <v>216</v>
      </c>
      <c r="M236" s="9">
        <v>2.0719563585000001E-4</v>
      </c>
      <c r="N236">
        <v>423068</v>
      </c>
      <c r="O236" s="9">
        <v>0.40582334845000001</v>
      </c>
      <c r="P236">
        <v>473012</v>
      </c>
      <c r="Q236" s="9">
        <v>0.45373158381000001</v>
      </c>
      <c r="R236">
        <f>Telengana_Results_2024[[#This Row],[BJP votes]]-Telengana_Results_2024[[#This Row],[Max Votes Other Than BJP]]</f>
        <v>49944</v>
      </c>
      <c r="S236" s="10">
        <f>Telengana_Results_2024[[#This Row],[BJP vote share]]-Telengana_Results_2024[[#This Row],[Max Vote share other than bjp ]]</f>
        <v>4.7908235359999995E-2</v>
      </c>
      <c r="T236">
        <v>2120550</v>
      </c>
      <c r="U236" s="8">
        <v>0.49449623918000002</v>
      </c>
      <c r="V236" s="1" t="s">
        <v>26</v>
      </c>
    </row>
    <row r="237" spans="1:22" x14ac:dyDescent="0.35">
      <c r="A237">
        <v>2024</v>
      </c>
      <c r="B237" s="1" t="s">
        <v>19</v>
      </c>
      <c r="C237" s="1" t="s">
        <v>546</v>
      </c>
      <c r="D237" s="1" t="s">
        <v>1072</v>
      </c>
      <c r="E237" s="1" t="s">
        <v>21</v>
      </c>
      <c r="F237" s="1" t="s">
        <v>1073</v>
      </c>
      <c r="G237" s="1" t="s">
        <v>112</v>
      </c>
      <c r="H237" s="1" t="s">
        <v>1074</v>
      </c>
      <c r="I237" s="1" t="s">
        <v>57</v>
      </c>
      <c r="J237">
        <v>1048604</v>
      </c>
      <c r="K237">
        <v>1042493</v>
      </c>
      <c r="L237">
        <v>210</v>
      </c>
      <c r="M237" s="9">
        <v>2.0144020152000001E-4</v>
      </c>
      <c r="N237">
        <v>423068</v>
      </c>
      <c r="O237" s="9">
        <v>0.40582334845000001</v>
      </c>
      <c r="P237">
        <v>473012</v>
      </c>
      <c r="Q237" s="9">
        <v>0.45373158381000001</v>
      </c>
      <c r="R237">
        <f>Telengana_Results_2024[[#This Row],[BJP votes]]-Telengana_Results_2024[[#This Row],[Max Votes Other Than BJP]]</f>
        <v>49944</v>
      </c>
      <c r="S237" s="10">
        <f>Telengana_Results_2024[[#This Row],[BJP vote share]]-Telengana_Results_2024[[#This Row],[Max Vote share other than bjp ]]</f>
        <v>4.7908235359999995E-2</v>
      </c>
      <c r="T237">
        <v>2120550</v>
      </c>
      <c r="U237" s="8">
        <v>0.49449623918000002</v>
      </c>
      <c r="V237" s="1" t="s">
        <v>26</v>
      </c>
    </row>
    <row r="238" spans="1:22" x14ac:dyDescent="0.35">
      <c r="A238">
        <v>2024</v>
      </c>
      <c r="B238" s="1" t="s">
        <v>19</v>
      </c>
      <c r="C238" s="1" t="s">
        <v>546</v>
      </c>
      <c r="D238" s="1" t="s">
        <v>1075</v>
      </c>
      <c r="E238" s="1" t="s">
        <v>35</v>
      </c>
      <c r="F238" s="1" t="s">
        <v>48</v>
      </c>
      <c r="G238" s="1" t="s">
        <v>112</v>
      </c>
      <c r="H238" s="1" t="s">
        <v>77</v>
      </c>
      <c r="I238" s="1" t="s">
        <v>828</v>
      </c>
      <c r="J238">
        <v>1048604</v>
      </c>
      <c r="K238">
        <v>1042493</v>
      </c>
      <c r="L238">
        <v>205</v>
      </c>
      <c r="M238" s="9">
        <v>1.9664400624E-4</v>
      </c>
      <c r="N238">
        <v>423068</v>
      </c>
      <c r="O238" s="9">
        <v>0.40582334845000001</v>
      </c>
      <c r="P238">
        <v>473012</v>
      </c>
      <c r="Q238" s="9">
        <v>0.45373158381000001</v>
      </c>
      <c r="R238">
        <f>Telengana_Results_2024[[#This Row],[BJP votes]]-Telengana_Results_2024[[#This Row],[Max Votes Other Than BJP]]</f>
        <v>49944</v>
      </c>
      <c r="S238" s="10">
        <f>Telengana_Results_2024[[#This Row],[BJP vote share]]-Telengana_Results_2024[[#This Row],[Max Vote share other than bjp ]]</f>
        <v>4.7908235359999995E-2</v>
      </c>
      <c r="T238">
        <v>2120550</v>
      </c>
      <c r="U238" s="8">
        <v>0.49449623918000002</v>
      </c>
      <c r="V238" s="1" t="s">
        <v>26</v>
      </c>
    </row>
    <row r="239" spans="1:22" x14ac:dyDescent="0.35">
      <c r="A239">
        <v>2024</v>
      </c>
      <c r="B239" s="1" t="s">
        <v>19</v>
      </c>
      <c r="C239" s="1" t="s">
        <v>546</v>
      </c>
      <c r="D239" s="1" t="s">
        <v>1076</v>
      </c>
      <c r="E239" s="1" t="s">
        <v>21</v>
      </c>
      <c r="F239" s="1" t="s">
        <v>200</v>
      </c>
      <c r="G239" s="1" t="s">
        <v>112</v>
      </c>
      <c r="H239" s="1" t="s">
        <v>53</v>
      </c>
      <c r="I239" s="1" t="s">
        <v>151</v>
      </c>
      <c r="J239">
        <v>1048604</v>
      </c>
      <c r="K239">
        <v>1042493</v>
      </c>
      <c r="L239">
        <v>161</v>
      </c>
      <c r="M239" s="9">
        <v>1.5443748783E-4</v>
      </c>
      <c r="N239">
        <v>423068</v>
      </c>
      <c r="O239" s="9">
        <v>0.40582334845000001</v>
      </c>
      <c r="P239">
        <v>473012</v>
      </c>
      <c r="Q239" s="9">
        <v>0.45373158381000001</v>
      </c>
      <c r="R239">
        <f>Telengana_Results_2024[[#This Row],[BJP votes]]-Telengana_Results_2024[[#This Row],[Max Votes Other Than BJP]]</f>
        <v>49944</v>
      </c>
      <c r="S239" s="10">
        <f>Telengana_Results_2024[[#This Row],[BJP vote share]]-Telengana_Results_2024[[#This Row],[Max Vote share other than bjp ]]</f>
        <v>4.7908235359999995E-2</v>
      </c>
      <c r="T239">
        <v>2120550</v>
      </c>
      <c r="U239" s="8">
        <v>0.49449623918000002</v>
      </c>
      <c r="V239" s="1" t="s">
        <v>26</v>
      </c>
    </row>
    <row r="240" spans="1:22" x14ac:dyDescent="0.35">
      <c r="A240">
        <v>2024</v>
      </c>
      <c r="B240" s="1" t="s">
        <v>19</v>
      </c>
      <c r="C240" s="1" t="s">
        <v>546</v>
      </c>
      <c r="D240" s="1" t="s">
        <v>1077</v>
      </c>
      <c r="E240" s="1" t="s">
        <v>21</v>
      </c>
      <c r="F240" s="1" t="s">
        <v>120</v>
      </c>
      <c r="G240" s="1" t="s">
        <v>112</v>
      </c>
      <c r="H240" s="1" t="s">
        <v>53</v>
      </c>
      <c r="I240" s="1" t="s">
        <v>1078</v>
      </c>
      <c r="J240">
        <v>1048604</v>
      </c>
      <c r="K240">
        <v>1042493</v>
      </c>
      <c r="L240">
        <v>143</v>
      </c>
      <c r="M240" s="9">
        <v>1.3717118484E-4</v>
      </c>
      <c r="N240">
        <v>423068</v>
      </c>
      <c r="O240" s="9">
        <v>0.40582334845000001</v>
      </c>
      <c r="P240">
        <v>473012</v>
      </c>
      <c r="Q240" s="9">
        <v>0.45373158381000001</v>
      </c>
      <c r="R240">
        <f>Telengana_Results_2024[[#This Row],[BJP votes]]-Telengana_Results_2024[[#This Row],[Max Votes Other Than BJP]]</f>
        <v>49944</v>
      </c>
      <c r="S240" s="10">
        <f>Telengana_Results_2024[[#This Row],[BJP vote share]]-Telengana_Results_2024[[#This Row],[Max Vote share other than bjp ]]</f>
        <v>4.7908235359999995E-2</v>
      </c>
      <c r="T240">
        <v>2120550</v>
      </c>
      <c r="U240" s="8">
        <v>0.49449623918000002</v>
      </c>
      <c r="V240" s="1" t="s">
        <v>26</v>
      </c>
    </row>
    <row r="241" spans="1:22" x14ac:dyDescent="0.35">
      <c r="A241">
        <v>2024</v>
      </c>
      <c r="B241" s="1" t="s">
        <v>19</v>
      </c>
      <c r="C241" s="1" t="s">
        <v>546</v>
      </c>
      <c r="D241" s="1" t="s">
        <v>1079</v>
      </c>
      <c r="E241" s="1" t="s">
        <v>35</v>
      </c>
      <c r="F241" s="1" t="s">
        <v>52</v>
      </c>
      <c r="G241" s="1" t="s">
        <v>112</v>
      </c>
      <c r="H241" s="1" t="s">
        <v>860</v>
      </c>
      <c r="I241" s="1" t="s">
        <v>791</v>
      </c>
      <c r="J241">
        <v>1048604</v>
      </c>
      <c r="K241">
        <v>1042493</v>
      </c>
      <c r="L241">
        <v>133</v>
      </c>
      <c r="M241" s="9">
        <v>1.2757879429E-4</v>
      </c>
      <c r="N241">
        <v>423068</v>
      </c>
      <c r="O241" s="9">
        <v>0.40582334845000001</v>
      </c>
      <c r="P241">
        <v>473012</v>
      </c>
      <c r="Q241" s="9">
        <v>0.45373158381000001</v>
      </c>
      <c r="R241">
        <f>Telengana_Results_2024[[#This Row],[BJP votes]]-Telengana_Results_2024[[#This Row],[Max Votes Other Than BJP]]</f>
        <v>49944</v>
      </c>
      <c r="S241" s="10">
        <f>Telengana_Results_2024[[#This Row],[BJP vote share]]-Telengana_Results_2024[[#This Row],[Max Vote share other than bjp ]]</f>
        <v>4.7908235359999995E-2</v>
      </c>
      <c r="T241">
        <v>2120550</v>
      </c>
      <c r="U241" s="8">
        <v>0.49449623918000002</v>
      </c>
      <c r="V241" s="1" t="s">
        <v>26</v>
      </c>
    </row>
    <row r="242" spans="1:22" x14ac:dyDescent="0.35">
      <c r="A242">
        <v>2024</v>
      </c>
      <c r="B242" s="1" t="s">
        <v>19</v>
      </c>
      <c r="C242" s="1" t="s">
        <v>546</v>
      </c>
      <c r="D242" s="1" t="s">
        <v>1080</v>
      </c>
      <c r="E242" s="1" t="s">
        <v>21</v>
      </c>
      <c r="F242" s="1" t="s">
        <v>22</v>
      </c>
      <c r="G242" s="1" t="s">
        <v>112</v>
      </c>
      <c r="H242" s="1" t="s">
        <v>53</v>
      </c>
      <c r="I242" s="1" t="s">
        <v>1081</v>
      </c>
      <c r="J242">
        <v>1048604</v>
      </c>
      <c r="K242">
        <v>1042493</v>
      </c>
      <c r="L242">
        <v>133</v>
      </c>
      <c r="M242" s="9">
        <v>1.2757879429E-4</v>
      </c>
      <c r="N242">
        <v>423068</v>
      </c>
      <c r="O242" s="9">
        <v>0.40582334845000001</v>
      </c>
      <c r="P242">
        <v>473012</v>
      </c>
      <c r="Q242" s="9">
        <v>0.45373158381000001</v>
      </c>
      <c r="R242">
        <f>Telengana_Results_2024[[#This Row],[BJP votes]]-Telengana_Results_2024[[#This Row],[Max Votes Other Than BJP]]</f>
        <v>49944</v>
      </c>
      <c r="S242" s="10">
        <f>Telengana_Results_2024[[#This Row],[BJP vote share]]-Telengana_Results_2024[[#This Row],[Max Vote share other than bjp ]]</f>
        <v>4.7908235359999995E-2</v>
      </c>
      <c r="T242">
        <v>2120550</v>
      </c>
      <c r="U242" s="8">
        <v>0.49449623918000002</v>
      </c>
      <c r="V242" s="1" t="s">
        <v>26</v>
      </c>
    </row>
    <row r="243" spans="1:22" x14ac:dyDescent="0.35">
      <c r="A243">
        <v>2024</v>
      </c>
      <c r="B243" s="1" t="s">
        <v>19</v>
      </c>
      <c r="C243" s="1" t="s">
        <v>546</v>
      </c>
      <c r="D243" s="1" t="s">
        <v>1082</v>
      </c>
      <c r="E243" s="1" t="s">
        <v>21</v>
      </c>
      <c r="F243" s="1" t="s">
        <v>99</v>
      </c>
      <c r="G243" s="1" t="s">
        <v>67</v>
      </c>
      <c r="H243" s="1" t="s">
        <v>1001</v>
      </c>
      <c r="I243" s="1" t="s">
        <v>60</v>
      </c>
      <c r="J243">
        <v>1048604</v>
      </c>
      <c r="K243">
        <v>1042493</v>
      </c>
      <c r="L243">
        <v>130</v>
      </c>
      <c r="M243" s="9">
        <v>1.2470107712999999E-4</v>
      </c>
      <c r="N243">
        <v>423068</v>
      </c>
      <c r="O243" s="9">
        <v>0.40582334845000001</v>
      </c>
      <c r="P243">
        <v>473012</v>
      </c>
      <c r="Q243" s="9">
        <v>0.45373158381000001</v>
      </c>
      <c r="R243">
        <f>Telengana_Results_2024[[#This Row],[BJP votes]]-Telengana_Results_2024[[#This Row],[Max Votes Other Than BJP]]</f>
        <v>49944</v>
      </c>
      <c r="S243" s="10">
        <f>Telengana_Results_2024[[#This Row],[BJP vote share]]-Telengana_Results_2024[[#This Row],[Max Vote share other than bjp ]]</f>
        <v>4.7908235359999995E-2</v>
      </c>
      <c r="T243">
        <v>2120550</v>
      </c>
      <c r="U243" s="8">
        <v>0.49449623918000002</v>
      </c>
      <c r="V243" s="1" t="s">
        <v>26</v>
      </c>
    </row>
    <row r="244" spans="1:22" x14ac:dyDescent="0.35">
      <c r="A244">
        <v>2024</v>
      </c>
      <c r="B244" s="1" t="s">
        <v>19</v>
      </c>
      <c r="C244" s="1" t="s">
        <v>546</v>
      </c>
      <c r="D244" s="1" t="s">
        <v>541</v>
      </c>
      <c r="E244" s="1" t="s">
        <v>21</v>
      </c>
      <c r="F244" s="1" t="s">
        <v>183</v>
      </c>
      <c r="G244" s="1" t="s">
        <v>112</v>
      </c>
      <c r="H244" s="1" t="s">
        <v>53</v>
      </c>
      <c r="I244" s="1" t="s">
        <v>892</v>
      </c>
      <c r="J244">
        <v>1048604</v>
      </c>
      <c r="K244">
        <v>1042493</v>
      </c>
      <c r="L244">
        <v>129</v>
      </c>
      <c r="M244" s="9">
        <v>1.2374183807E-4</v>
      </c>
      <c r="N244">
        <v>423068</v>
      </c>
      <c r="O244" s="9">
        <v>0.40582334845000001</v>
      </c>
      <c r="P244">
        <v>473012</v>
      </c>
      <c r="Q244" s="9">
        <v>0.45373158381000001</v>
      </c>
      <c r="R244">
        <f>Telengana_Results_2024[[#This Row],[BJP votes]]-Telengana_Results_2024[[#This Row],[Max Votes Other Than BJP]]</f>
        <v>49944</v>
      </c>
      <c r="S244" s="10">
        <f>Telengana_Results_2024[[#This Row],[BJP vote share]]-Telengana_Results_2024[[#This Row],[Max Vote share other than bjp ]]</f>
        <v>4.7908235359999995E-2</v>
      </c>
      <c r="T244">
        <v>2120550</v>
      </c>
      <c r="U244" s="8">
        <v>0.49449623918000002</v>
      </c>
      <c r="V244" s="1" t="s">
        <v>26</v>
      </c>
    </row>
    <row r="245" spans="1:22" x14ac:dyDescent="0.35">
      <c r="A245">
        <v>2024</v>
      </c>
      <c r="B245" s="1" t="s">
        <v>19</v>
      </c>
      <c r="C245" s="1" t="s">
        <v>546</v>
      </c>
      <c r="D245" s="1" t="s">
        <v>1083</v>
      </c>
      <c r="E245" s="1" t="s">
        <v>35</v>
      </c>
      <c r="F245" s="1" t="s">
        <v>183</v>
      </c>
      <c r="G245" s="1" t="s">
        <v>67</v>
      </c>
      <c r="H245" s="1" t="s">
        <v>53</v>
      </c>
      <c r="I245" s="1" t="s">
        <v>440</v>
      </c>
      <c r="J245">
        <v>1048604</v>
      </c>
      <c r="K245">
        <v>1042493</v>
      </c>
      <c r="L245">
        <v>127</v>
      </c>
      <c r="M245" s="9">
        <v>1.2182335997E-4</v>
      </c>
      <c r="N245">
        <v>423068</v>
      </c>
      <c r="O245" s="9">
        <v>0.40582334845000001</v>
      </c>
      <c r="P245">
        <v>473012</v>
      </c>
      <c r="Q245" s="9">
        <v>0.45373158381000001</v>
      </c>
      <c r="R245">
        <f>Telengana_Results_2024[[#This Row],[BJP votes]]-Telengana_Results_2024[[#This Row],[Max Votes Other Than BJP]]</f>
        <v>49944</v>
      </c>
      <c r="S245" s="10">
        <f>Telengana_Results_2024[[#This Row],[BJP vote share]]-Telengana_Results_2024[[#This Row],[Max Vote share other than bjp ]]</f>
        <v>4.7908235359999995E-2</v>
      </c>
      <c r="T245">
        <v>2120550</v>
      </c>
      <c r="U245" s="8">
        <v>0.49449623918000002</v>
      </c>
      <c r="V245" s="1" t="s">
        <v>26</v>
      </c>
    </row>
    <row r="246" spans="1:22" x14ac:dyDescent="0.35">
      <c r="A246">
        <v>2024</v>
      </c>
      <c r="B246" s="1" t="s">
        <v>19</v>
      </c>
      <c r="C246" s="1" t="s">
        <v>546</v>
      </c>
      <c r="D246" s="1" t="s">
        <v>1084</v>
      </c>
      <c r="E246" s="1" t="s">
        <v>21</v>
      </c>
      <c r="F246" s="1" t="s">
        <v>62</v>
      </c>
      <c r="G246" s="1" t="s">
        <v>112</v>
      </c>
      <c r="H246" s="1" t="s">
        <v>53</v>
      </c>
      <c r="I246" s="1" t="s">
        <v>848</v>
      </c>
      <c r="J246">
        <v>1048604</v>
      </c>
      <c r="K246">
        <v>1042493</v>
      </c>
      <c r="L246">
        <v>124</v>
      </c>
      <c r="M246" s="9">
        <v>1.189456428E-4</v>
      </c>
      <c r="N246">
        <v>423068</v>
      </c>
      <c r="O246" s="9">
        <v>0.40582334845000001</v>
      </c>
      <c r="P246">
        <v>473012</v>
      </c>
      <c r="Q246" s="9">
        <v>0.45373158381000001</v>
      </c>
      <c r="R246">
        <f>Telengana_Results_2024[[#This Row],[BJP votes]]-Telengana_Results_2024[[#This Row],[Max Votes Other Than BJP]]</f>
        <v>49944</v>
      </c>
      <c r="S246" s="10">
        <f>Telengana_Results_2024[[#This Row],[BJP vote share]]-Telengana_Results_2024[[#This Row],[Max Vote share other than bjp ]]</f>
        <v>4.7908235359999995E-2</v>
      </c>
      <c r="T246">
        <v>2120550</v>
      </c>
      <c r="U246" s="8">
        <v>0.49449623918000002</v>
      </c>
      <c r="V246" s="1" t="s">
        <v>26</v>
      </c>
    </row>
    <row r="247" spans="1:22" x14ac:dyDescent="0.35">
      <c r="A247">
        <v>2024</v>
      </c>
      <c r="B247" s="1" t="s">
        <v>19</v>
      </c>
      <c r="C247" s="1" t="s">
        <v>546</v>
      </c>
      <c r="D247" s="1" t="s">
        <v>1085</v>
      </c>
      <c r="E247" s="1" t="s">
        <v>21</v>
      </c>
      <c r="F247" s="1" t="s">
        <v>62</v>
      </c>
      <c r="G247" s="1" t="s">
        <v>67</v>
      </c>
      <c r="H247" s="1" t="s">
        <v>53</v>
      </c>
      <c r="I247" s="1" t="s">
        <v>256</v>
      </c>
      <c r="J247">
        <v>1048604</v>
      </c>
      <c r="K247">
        <v>1042493</v>
      </c>
      <c r="L247">
        <v>120</v>
      </c>
      <c r="M247" s="9">
        <v>1.1510868658E-4</v>
      </c>
      <c r="N247">
        <v>423068</v>
      </c>
      <c r="O247" s="9">
        <v>0.40582334845000001</v>
      </c>
      <c r="P247">
        <v>473012</v>
      </c>
      <c r="Q247" s="9">
        <v>0.45373158381000001</v>
      </c>
      <c r="R247">
        <f>Telengana_Results_2024[[#This Row],[BJP votes]]-Telengana_Results_2024[[#This Row],[Max Votes Other Than BJP]]</f>
        <v>49944</v>
      </c>
      <c r="S247" s="10">
        <f>Telengana_Results_2024[[#This Row],[BJP vote share]]-Telengana_Results_2024[[#This Row],[Max Vote share other than bjp ]]</f>
        <v>4.7908235359999995E-2</v>
      </c>
      <c r="T247">
        <v>2120550</v>
      </c>
      <c r="U247" s="8">
        <v>0.49449623918000002</v>
      </c>
      <c r="V247" s="1" t="s">
        <v>26</v>
      </c>
    </row>
    <row r="248" spans="1:22" x14ac:dyDescent="0.35">
      <c r="A248">
        <v>2024</v>
      </c>
      <c r="B248" s="1" t="s">
        <v>19</v>
      </c>
      <c r="C248" s="1" t="s">
        <v>546</v>
      </c>
      <c r="D248" s="1" t="s">
        <v>1086</v>
      </c>
      <c r="E248" s="1" t="s">
        <v>21</v>
      </c>
      <c r="F248" s="1" t="s">
        <v>75</v>
      </c>
      <c r="G248" s="1" t="s">
        <v>112</v>
      </c>
      <c r="H248" s="1" t="s">
        <v>53</v>
      </c>
      <c r="I248" s="1" t="s">
        <v>97</v>
      </c>
      <c r="J248">
        <v>1048604</v>
      </c>
      <c r="K248">
        <v>1042493</v>
      </c>
      <c r="L248">
        <v>117</v>
      </c>
      <c r="M248" s="9">
        <v>1.1223096942E-4</v>
      </c>
      <c r="N248">
        <v>423068</v>
      </c>
      <c r="O248" s="9">
        <v>0.40582334845000001</v>
      </c>
      <c r="P248">
        <v>473012</v>
      </c>
      <c r="Q248" s="9">
        <v>0.45373158381000001</v>
      </c>
      <c r="R248">
        <f>Telengana_Results_2024[[#This Row],[BJP votes]]-Telengana_Results_2024[[#This Row],[Max Votes Other Than BJP]]</f>
        <v>49944</v>
      </c>
      <c r="S248" s="10">
        <f>Telengana_Results_2024[[#This Row],[BJP vote share]]-Telengana_Results_2024[[#This Row],[Max Vote share other than bjp ]]</f>
        <v>4.7908235359999995E-2</v>
      </c>
      <c r="T248">
        <v>2120550</v>
      </c>
      <c r="U248" s="8">
        <v>0.49449623918000002</v>
      </c>
      <c r="V248" s="1" t="s">
        <v>26</v>
      </c>
    </row>
    <row r="249" spans="1:22" x14ac:dyDescent="0.35">
      <c r="A249">
        <v>2024</v>
      </c>
      <c r="B249" s="1" t="s">
        <v>19</v>
      </c>
      <c r="C249" s="1" t="s">
        <v>546</v>
      </c>
      <c r="D249" s="1" t="s">
        <v>1087</v>
      </c>
      <c r="E249" s="1" t="s">
        <v>21</v>
      </c>
      <c r="F249" s="1" t="s">
        <v>703</v>
      </c>
      <c r="G249" s="1" t="s">
        <v>112</v>
      </c>
      <c r="H249" s="1" t="s">
        <v>53</v>
      </c>
      <c r="I249" s="1" t="s">
        <v>865</v>
      </c>
      <c r="J249">
        <v>1048604</v>
      </c>
      <c r="K249">
        <v>1042493</v>
      </c>
      <c r="L249">
        <v>114</v>
      </c>
      <c r="M249" s="9">
        <v>1.0935325225E-4</v>
      </c>
      <c r="N249">
        <v>423068</v>
      </c>
      <c r="O249" s="9">
        <v>0.40582334845000001</v>
      </c>
      <c r="P249">
        <v>473012</v>
      </c>
      <c r="Q249" s="9">
        <v>0.45373158381000001</v>
      </c>
      <c r="R249">
        <f>Telengana_Results_2024[[#This Row],[BJP votes]]-Telengana_Results_2024[[#This Row],[Max Votes Other Than BJP]]</f>
        <v>49944</v>
      </c>
      <c r="S249" s="10">
        <f>Telengana_Results_2024[[#This Row],[BJP vote share]]-Telengana_Results_2024[[#This Row],[Max Vote share other than bjp ]]</f>
        <v>4.7908235359999995E-2</v>
      </c>
      <c r="T249">
        <v>2120550</v>
      </c>
      <c r="U249" s="8">
        <v>0.49449623918000002</v>
      </c>
      <c r="V249" s="1" t="s">
        <v>26</v>
      </c>
    </row>
    <row r="250" spans="1:22" x14ac:dyDescent="0.35">
      <c r="A250">
        <v>2024</v>
      </c>
      <c r="B250" s="1" t="s">
        <v>19</v>
      </c>
      <c r="C250" s="1" t="s">
        <v>546</v>
      </c>
      <c r="D250" s="1" t="s">
        <v>1088</v>
      </c>
      <c r="E250" s="1" t="s">
        <v>21</v>
      </c>
      <c r="F250" s="1" t="s">
        <v>165</v>
      </c>
      <c r="G250" s="1" t="s">
        <v>112</v>
      </c>
      <c r="H250" s="1" t="s">
        <v>53</v>
      </c>
      <c r="I250" s="1" t="s">
        <v>897</v>
      </c>
      <c r="J250">
        <v>1048604</v>
      </c>
      <c r="K250">
        <v>1042493</v>
      </c>
      <c r="L250">
        <v>111</v>
      </c>
      <c r="M250" s="9">
        <v>1.0647553509E-4</v>
      </c>
      <c r="N250">
        <v>423068</v>
      </c>
      <c r="O250" s="9">
        <v>0.40582334845000001</v>
      </c>
      <c r="P250">
        <v>473012</v>
      </c>
      <c r="Q250" s="9">
        <v>0.45373158381000001</v>
      </c>
      <c r="R250">
        <f>Telengana_Results_2024[[#This Row],[BJP votes]]-Telengana_Results_2024[[#This Row],[Max Votes Other Than BJP]]</f>
        <v>49944</v>
      </c>
      <c r="S250" s="10">
        <f>Telengana_Results_2024[[#This Row],[BJP vote share]]-Telengana_Results_2024[[#This Row],[Max Vote share other than bjp ]]</f>
        <v>4.7908235359999995E-2</v>
      </c>
      <c r="T250">
        <v>2120550</v>
      </c>
      <c r="U250" s="8">
        <v>0.49449623918000002</v>
      </c>
      <c r="V250" s="1" t="s">
        <v>26</v>
      </c>
    </row>
    <row r="251" spans="1:22" x14ac:dyDescent="0.35">
      <c r="A251">
        <v>2024</v>
      </c>
      <c r="B251" s="1" t="s">
        <v>19</v>
      </c>
      <c r="C251" s="1" t="s">
        <v>580</v>
      </c>
      <c r="D251" s="1" t="s">
        <v>581</v>
      </c>
      <c r="E251" s="1" t="s">
        <v>21</v>
      </c>
      <c r="F251" s="1" t="s">
        <v>22</v>
      </c>
      <c r="G251" s="1" t="s">
        <v>112</v>
      </c>
      <c r="H251" s="1" t="s">
        <v>582</v>
      </c>
      <c r="I251" s="1" t="s">
        <v>583</v>
      </c>
      <c r="J251">
        <v>1081878</v>
      </c>
      <c r="K251">
        <v>1077418</v>
      </c>
      <c r="L251">
        <v>661981</v>
      </c>
      <c r="M251" s="9">
        <v>0.61441427560999995</v>
      </c>
      <c r="N251">
        <v>661981</v>
      </c>
      <c r="O251" s="9">
        <v>0.61441427560999995</v>
      </c>
      <c r="P251">
        <v>323894</v>
      </c>
      <c r="Q251" s="9">
        <v>0.30062055767000001</v>
      </c>
      <c r="R251">
        <f>Telengana_Results_2024[[#This Row],[BJP votes]]-Telengana_Results_2024[[#This Row],[Max Votes Other Than BJP]]</f>
        <v>-338087</v>
      </c>
      <c r="S251" s="10">
        <f>Telengana_Results_2024[[#This Row],[BJP vote share]]-Telengana_Results_2024[[#This Row],[Max Vote share other than bjp ]]</f>
        <v>-0.31379371793999994</v>
      </c>
      <c r="T251">
        <v>2217305</v>
      </c>
      <c r="U251" s="8">
        <v>0.48792475549999997</v>
      </c>
      <c r="V251" s="1" t="s">
        <v>68</v>
      </c>
    </row>
    <row r="252" spans="1:22" x14ac:dyDescent="0.35">
      <c r="A252">
        <v>2024</v>
      </c>
      <c r="B252" s="1" t="s">
        <v>19</v>
      </c>
      <c r="C252" s="1" t="s">
        <v>580</v>
      </c>
      <c r="D252" s="1" t="s">
        <v>1089</v>
      </c>
      <c r="E252" s="1" t="s">
        <v>35</v>
      </c>
      <c r="F252" s="1" t="s">
        <v>234</v>
      </c>
      <c r="G252" s="1" t="s">
        <v>112</v>
      </c>
      <c r="H252" s="1" t="s">
        <v>32</v>
      </c>
      <c r="I252" s="1" t="s">
        <v>33</v>
      </c>
      <c r="J252">
        <v>1081878</v>
      </c>
      <c r="K252">
        <v>1077418</v>
      </c>
      <c r="L252">
        <v>323894</v>
      </c>
      <c r="M252" s="9">
        <v>0.30062055767000001</v>
      </c>
      <c r="N252">
        <v>661981</v>
      </c>
      <c r="O252" s="9">
        <v>0.61441427560999995</v>
      </c>
      <c r="P252">
        <v>323894</v>
      </c>
      <c r="Q252" s="9">
        <v>0.30062055767000001</v>
      </c>
      <c r="R252">
        <f>Telengana_Results_2024[[#This Row],[BJP votes]]-Telengana_Results_2024[[#This Row],[Max Votes Other Than BJP]]</f>
        <v>-338087</v>
      </c>
      <c r="S252" s="10">
        <f>Telengana_Results_2024[[#This Row],[BJP vote share]]-Telengana_Results_2024[[#This Row],[Max Vote share other than bjp ]]</f>
        <v>-0.31379371793999994</v>
      </c>
      <c r="T252">
        <v>2217305</v>
      </c>
      <c r="U252" s="8">
        <v>0.48792475549999997</v>
      </c>
      <c r="V252" s="1" t="s">
        <v>68</v>
      </c>
    </row>
    <row r="253" spans="1:22" x14ac:dyDescent="0.35">
      <c r="A253">
        <v>2024</v>
      </c>
      <c r="B253" s="1" t="s">
        <v>19</v>
      </c>
      <c r="C253" s="1" t="s">
        <v>580</v>
      </c>
      <c r="D253" s="1" t="s">
        <v>1090</v>
      </c>
      <c r="E253" s="1" t="s">
        <v>21</v>
      </c>
      <c r="F253" s="1" t="s">
        <v>75</v>
      </c>
      <c r="G253" s="1" t="s">
        <v>112</v>
      </c>
      <c r="H253" s="1" t="s">
        <v>29</v>
      </c>
      <c r="I253" s="1" t="s">
        <v>30</v>
      </c>
      <c r="J253">
        <v>1081878</v>
      </c>
      <c r="K253">
        <v>1077418</v>
      </c>
      <c r="L253">
        <v>62962</v>
      </c>
      <c r="M253" s="9">
        <v>5.8437857916000001E-2</v>
      </c>
      <c r="N253">
        <v>661981</v>
      </c>
      <c r="O253" s="9">
        <v>0.61441427560999995</v>
      </c>
      <c r="P253">
        <v>323894</v>
      </c>
      <c r="Q253" s="9">
        <v>0.30062055767000001</v>
      </c>
      <c r="R253">
        <f>Telengana_Results_2024[[#This Row],[BJP votes]]-Telengana_Results_2024[[#This Row],[Max Votes Other Than BJP]]</f>
        <v>-338087</v>
      </c>
      <c r="S253" s="10">
        <f>Telengana_Results_2024[[#This Row],[BJP vote share]]-Telengana_Results_2024[[#This Row],[Max Vote share other than bjp ]]</f>
        <v>-0.31379371793999994</v>
      </c>
      <c r="T253">
        <v>2217305</v>
      </c>
      <c r="U253" s="8">
        <v>0.48792475549999997</v>
      </c>
      <c r="V253" s="1" t="s">
        <v>68</v>
      </c>
    </row>
    <row r="254" spans="1:22" x14ac:dyDescent="0.35">
      <c r="A254">
        <v>2024</v>
      </c>
      <c r="B254" s="1" t="s">
        <v>19</v>
      </c>
      <c r="C254" s="1" t="s">
        <v>580</v>
      </c>
      <c r="D254" s="1" t="s">
        <v>1091</v>
      </c>
      <c r="E254" s="1" t="s">
        <v>21</v>
      </c>
      <c r="F254" s="1" t="s">
        <v>362</v>
      </c>
      <c r="G254" s="1" t="s">
        <v>112</v>
      </c>
      <c r="H254" s="1" t="s">
        <v>785</v>
      </c>
      <c r="I254" s="1" t="s">
        <v>25</v>
      </c>
      <c r="J254">
        <v>1081878</v>
      </c>
      <c r="K254">
        <v>1077418</v>
      </c>
      <c r="L254">
        <v>18641</v>
      </c>
      <c r="M254" s="9">
        <v>1.7301548702999998E-2</v>
      </c>
      <c r="N254">
        <v>661981</v>
      </c>
      <c r="O254" s="9">
        <v>0.61441427560999995</v>
      </c>
      <c r="P254">
        <v>323894</v>
      </c>
      <c r="Q254" s="9">
        <v>0.30062055767000001</v>
      </c>
      <c r="R254">
        <f>Telengana_Results_2024[[#This Row],[BJP votes]]-Telengana_Results_2024[[#This Row],[Max Votes Other Than BJP]]</f>
        <v>-338087</v>
      </c>
      <c r="S254" s="10">
        <f>Telengana_Results_2024[[#This Row],[BJP vote share]]-Telengana_Results_2024[[#This Row],[Max Vote share other than bjp ]]</f>
        <v>-0.31379371793999994</v>
      </c>
      <c r="T254">
        <v>2217305</v>
      </c>
      <c r="U254" s="8">
        <v>0.48792475549999997</v>
      </c>
      <c r="V254" s="1" t="s">
        <v>68</v>
      </c>
    </row>
    <row r="255" spans="1:22" x14ac:dyDescent="0.35">
      <c r="A255">
        <v>2024</v>
      </c>
      <c r="B255" s="1" t="s">
        <v>19</v>
      </c>
      <c r="C255" s="1" t="s">
        <v>580</v>
      </c>
      <c r="D255" s="1" t="s">
        <v>64</v>
      </c>
      <c r="E255" s="1" t="s">
        <v>64</v>
      </c>
      <c r="F255" s="1" t="s">
        <v>64</v>
      </c>
      <c r="G255" s="1" t="s">
        <v>64</v>
      </c>
      <c r="H255" s="1" t="s">
        <v>64</v>
      </c>
      <c r="I255" s="1" t="s">
        <v>64</v>
      </c>
      <c r="J255">
        <v>1081878</v>
      </c>
      <c r="K255">
        <v>1077418</v>
      </c>
      <c r="L255">
        <v>2906</v>
      </c>
      <c r="M255" s="9">
        <v>2.6971890203999998E-3</v>
      </c>
      <c r="N255">
        <v>661981</v>
      </c>
      <c r="O255" s="9">
        <v>0.61441427560999995</v>
      </c>
      <c r="P255">
        <v>323894</v>
      </c>
      <c r="Q255" s="9">
        <v>0.30062055767000001</v>
      </c>
      <c r="R255">
        <f>Telengana_Results_2024[[#This Row],[BJP votes]]-Telengana_Results_2024[[#This Row],[Max Votes Other Than BJP]]</f>
        <v>-338087</v>
      </c>
      <c r="S255" s="10">
        <f>Telengana_Results_2024[[#This Row],[BJP vote share]]-Telengana_Results_2024[[#This Row],[Max Vote share other than bjp ]]</f>
        <v>-0.31379371793999994</v>
      </c>
      <c r="T255">
        <v>2217305</v>
      </c>
      <c r="U255" s="8">
        <v>0.48792475549999997</v>
      </c>
      <c r="V255" s="1" t="s">
        <v>68</v>
      </c>
    </row>
    <row r="256" spans="1:22" x14ac:dyDescent="0.35">
      <c r="A256">
        <v>2024</v>
      </c>
      <c r="B256" s="1" t="s">
        <v>19</v>
      </c>
      <c r="C256" s="1" t="s">
        <v>580</v>
      </c>
      <c r="D256" s="1" t="s">
        <v>1092</v>
      </c>
      <c r="E256" s="1" t="s">
        <v>21</v>
      </c>
      <c r="F256" s="1" t="s">
        <v>155</v>
      </c>
      <c r="G256" s="1" t="s">
        <v>112</v>
      </c>
      <c r="H256" s="1" t="s">
        <v>921</v>
      </c>
      <c r="I256" s="1" t="s">
        <v>796</v>
      </c>
      <c r="J256">
        <v>1081878</v>
      </c>
      <c r="K256">
        <v>1077418</v>
      </c>
      <c r="L256">
        <v>2232</v>
      </c>
      <c r="M256" s="9">
        <v>2.0716193714999998E-3</v>
      </c>
      <c r="N256">
        <v>661981</v>
      </c>
      <c r="O256" s="9">
        <v>0.61441427560999995</v>
      </c>
      <c r="P256">
        <v>323894</v>
      </c>
      <c r="Q256" s="9">
        <v>0.30062055767000001</v>
      </c>
      <c r="R256">
        <f>Telengana_Results_2024[[#This Row],[BJP votes]]-Telengana_Results_2024[[#This Row],[Max Votes Other Than BJP]]</f>
        <v>-338087</v>
      </c>
      <c r="S256" s="10">
        <f>Telengana_Results_2024[[#This Row],[BJP vote share]]-Telengana_Results_2024[[#This Row],[Max Vote share other than bjp ]]</f>
        <v>-0.31379371793999994</v>
      </c>
      <c r="T256">
        <v>2217305</v>
      </c>
      <c r="U256" s="8">
        <v>0.48792475549999997</v>
      </c>
      <c r="V256" s="1" t="s">
        <v>68</v>
      </c>
    </row>
    <row r="257" spans="1:22" x14ac:dyDescent="0.35">
      <c r="A257">
        <v>2024</v>
      </c>
      <c r="B257" s="1" t="s">
        <v>19</v>
      </c>
      <c r="C257" s="1" t="s">
        <v>580</v>
      </c>
      <c r="D257" s="1" t="s">
        <v>1093</v>
      </c>
      <c r="E257" s="1" t="s">
        <v>35</v>
      </c>
      <c r="F257" s="1" t="s">
        <v>59</v>
      </c>
      <c r="G257" s="1" t="s">
        <v>67</v>
      </c>
      <c r="H257" s="1" t="s">
        <v>1001</v>
      </c>
      <c r="I257" s="1" t="s">
        <v>60</v>
      </c>
      <c r="J257">
        <v>1081878</v>
      </c>
      <c r="K257">
        <v>1077418</v>
      </c>
      <c r="L257">
        <v>900</v>
      </c>
      <c r="M257" s="9">
        <v>8.3533039173000001E-4</v>
      </c>
      <c r="N257">
        <v>661981</v>
      </c>
      <c r="O257" s="9">
        <v>0.61441427560999995</v>
      </c>
      <c r="P257">
        <v>323894</v>
      </c>
      <c r="Q257" s="9">
        <v>0.30062055767000001</v>
      </c>
      <c r="R257">
        <f>Telengana_Results_2024[[#This Row],[BJP votes]]-Telengana_Results_2024[[#This Row],[Max Votes Other Than BJP]]</f>
        <v>-338087</v>
      </c>
      <c r="S257" s="10">
        <f>Telengana_Results_2024[[#This Row],[BJP vote share]]-Telengana_Results_2024[[#This Row],[Max Vote share other than bjp ]]</f>
        <v>-0.31379371793999994</v>
      </c>
      <c r="T257">
        <v>2217305</v>
      </c>
      <c r="U257" s="8">
        <v>0.48792475549999997</v>
      </c>
      <c r="V257" s="1" t="s">
        <v>68</v>
      </c>
    </row>
    <row r="258" spans="1:22" x14ac:dyDescent="0.35">
      <c r="A258">
        <v>2024</v>
      </c>
      <c r="B258" s="1" t="s">
        <v>19</v>
      </c>
      <c r="C258" s="1" t="s">
        <v>580</v>
      </c>
      <c r="D258" s="1" t="s">
        <v>1094</v>
      </c>
      <c r="E258" s="1" t="s">
        <v>21</v>
      </c>
      <c r="F258" s="1" t="s">
        <v>52</v>
      </c>
      <c r="G258" s="1" t="s">
        <v>112</v>
      </c>
      <c r="H258" s="1" t="s">
        <v>72</v>
      </c>
      <c r="I258" s="1" t="s">
        <v>73</v>
      </c>
      <c r="J258">
        <v>1081878</v>
      </c>
      <c r="K258">
        <v>1077418</v>
      </c>
      <c r="L258">
        <v>769</v>
      </c>
      <c r="M258" s="9">
        <v>7.1374341249000003E-4</v>
      </c>
      <c r="N258">
        <v>661981</v>
      </c>
      <c r="O258" s="9">
        <v>0.61441427560999995</v>
      </c>
      <c r="P258">
        <v>323894</v>
      </c>
      <c r="Q258" s="9">
        <v>0.30062055767000001</v>
      </c>
      <c r="R258">
        <f>Telengana_Results_2024[[#This Row],[BJP votes]]-Telengana_Results_2024[[#This Row],[Max Votes Other Than BJP]]</f>
        <v>-338087</v>
      </c>
      <c r="S258" s="10">
        <f>Telengana_Results_2024[[#This Row],[BJP vote share]]-Telengana_Results_2024[[#This Row],[Max Vote share other than bjp ]]</f>
        <v>-0.31379371793999994</v>
      </c>
      <c r="T258">
        <v>2217305</v>
      </c>
      <c r="U258" s="8">
        <v>0.48792475549999997</v>
      </c>
      <c r="V258" s="1" t="s">
        <v>68</v>
      </c>
    </row>
    <row r="259" spans="1:22" x14ac:dyDescent="0.35">
      <c r="A259">
        <v>2024</v>
      </c>
      <c r="B259" s="1" t="s">
        <v>19</v>
      </c>
      <c r="C259" s="1" t="s">
        <v>580</v>
      </c>
      <c r="D259" s="1" t="s">
        <v>1095</v>
      </c>
      <c r="E259" s="1" t="s">
        <v>21</v>
      </c>
      <c r="F259" s="1" t="s">
        <v>143</v>
      </c>
      <c r="G259" s="1" t="s">
        <v>67</v>
      </c>
      <c r="H259" s="1" t="s">
        <v>1096</v>
      </c>
      <c r="I259" s="1" t="s">
        <v>139</v>
      </c>
      <c r="J259">
        <v>1081878</v>
      </c>
      <c r="K259">
        <v>1077418</v>
      </c>
      <c r="L259">
        <v>663</v>
      </c>
      <c r="M259" s="9">
        <v>6.1536005523999998E-4</v>
      </c>
      <c r="N259">
        <v>661981</v>
      </c>
      <c r="O259" s="9">
        <v>0.61441427560999995</v>
      </c>
      <c r="P259">
        <v>323894</v>
      </c>
      <c r="Q259" s="9">
        <v>0.30062055767000001</v>
      </c>
      <c r="R259">
        <f>Telengana_Results_2024[[#This Row],[BJP votes]]-Telengana_Results_2024[[#This Row],[Max Votes Other Than BJP]]</f>
        <v>-338087</v>
      </c>
      <c r="S259" s="10">
        <f>Telengana_Results_2024[[#This Row],[BJP vote share]]-Telengana_Results_2024[[#This Row],[Max Vote share other than bjp ]]</f>
        <v>-0.31379371793999994</v>
      </c>
      <c r="T259">
        <v>2217305</v>
      </c>
      <c r="U259" s="8">
        <v>0.48792475549999997</v>
      </c>
      <c r="V259" s="1" t="s">
        <v>68</v>
      </c>
    </row>
    <row r="260" spans="1:22" x14ac:dyDescent="0.35">
      <c r="A260">
        <v>2024</v>
      </c>
      <c r="B260" s="1" t="s">
        <v>19</v>
      </c>
      <c r="C260" s="1" t="s">
        <v>580</v>
      </c>
      <c r="D260" s="1" t="s">
        <v>1061</v>
      </c>
      <c r="E260" s="1" t="s">
        <v>21</v>
      </c>
      <c r="F260" s="1" t="s">
        <v>125</v>
      </c>
      <c r="G260" s="1" t="s">
        <v>112</v>
      </c>
      <c r="H260" s="1" t="s">
        <v>1062</v>
      </c>
      <c r="I260" s="1" t="s">
        <v>841</v>
      </c>
      <c r="J260">
        <v>1081878</v>
      </c>
      <c r="K260">
        <v>1077418</v>
      </c>
      <c r="L260">
        <v>562</v>
      </c>
      <c r="M260" s="9">
        <v>5.2161742238999997E-4</v>
      </c>
      <c r="N260">
        <v>661981</v>
      </c>
      <c r="O260" s="9">
        <v>0.61441427560999995</v>
      </c>
      <c r="P260">
        <v>323894</v>
      </c>
      <c r="Q260" s="9">
        <v>0.30062055767000001</v>
      </c>
      <c r="R260">
        <f>Telengana_Results_2024[[#This Row],[BJP votes]]-Telengana_Results_2024[[#This Row],[Max Votes Other Than BJP]]</f>
        <v>-338087</v>
      </c>
      <c r="S260" s="10">
        <f>Telengana_Results_2024[[#This Row],[BJP vote share]]-Telengana_Results_2024[[#This Row],[Max Vote share other than bjp ]]</f>
        <v>-0.31379371793999994</v>
      </c>
      <c r="T260">
        <v>2217305</v>
      </c>
      <c r="U260" s="8">
        <v>0.48792475549999997</v>
      </c>
      <c r="V260" s="1" t="s">
        <v>68</v>
      </c>
    </row>
    <row r="261" spans="1:22" x14ac:dyDescent="0.35">
      <c r="A261">
        <v>2024</v>
      </c>
      <c r="B261" s="1" t="s">
        <v>19</v>
      </c>
      <c r="C261" s="1" t="s">
        <v>580</v>
      </c>
      <c r="D261" s="1" t="s">
        <v>1097</v>
      </c>
      <c r="E261" s="1" t="s">
        <v>21</v>
      </c>
      <c r="F261" s="1" t="s">
        <v>120</v>
      </c>
      <c r="G261" s="1" t="s">
        <v>112</v>
      </c>
      <c r="H261" s="1" t="s">
        <v>1098</v>
      </c>
      <c r="I261" s="1" t="s">
        <v>818</v>
      </c>
      <c r="J261">
        <v>1081878</v>
      </c>
      <c r="K261">
        <v>1077418</v>
      </c>
      <c r="L261">
        <v>515</v>
      </c>
      <c r="M261" s="9">
        <v>4.7799461305000001E-4</v>
      </c>
      <c r="N261">
        <v>661981</v>
      </c>
      <c r="O261" s="9">
        <v>0.61441427560999995</v>
      </c>
      <c r="P261">
        <v>323894</v>
      </c>
      <c r="Q261" s="9">
        <v>0.30062055767000001</v>
      </c>
      <c r="R261">
        <f>Telengana_Results_2024[[#This Row],[BJP votes]]-Telengana_Results_2024[[#This Row],[Max Votes Other Than BJP]]</f>
        <v>-338087</v>
      </c>
      <c r="S261" s="10">
        <f>Telengana_Results_2024[[#This Row],[BJP vote share]]-Telengana_Results_2024[[#This Row],[Max Vote share other than bjp ]]</f>
        <v>-0.31379371793999994</v>
      </c>
      <c r="T261">
        <v>2217305</v>
      </c>
      <c r="U261" s="8">
        <v>0.48792475549999997</v>
      </c>
      <c r="V261" s="1" t="s">
        <v>68</v>
      </c>
    </row>
    <row r="262" spans="1:22" x14ac:dyDescent="0.35">
      <c r="A262">
        <v>2024</v>
      </c>
      <c r="B262" s="1" t="s">
        <v>19</v>
      </c>
      <c r="C262" s="1" t="s">
        <v>580</v>
      </c>
      <c r="D262" s="1" t="s">
        <v>1099</v>
      </c>
      <c r="E262" s="1" t="s">
        <v>21</v>
      </c>
      <c r="F262" s="1" t="s">
        <v>36</v>
      </c>
      <c r="G262" s="1" t="s">
        <v>112</v>
      </c>
      <c r="H262" s="1" t="s">
        <v>787</v>
      </c>
      <c r="I262" s="1" t="s">
        <v>788</v>
      </c>
      <c r="J262">
        <v>1081878</v>
      </c>
      <c r="K262">
        <v>1077418</v>
      </c>
      <c r="L262">
        <v>492</v>
      </c>
      <c r="M262" s="9">
        <v>4.5664728081E-4</v>
      </c>
      <c r="N262">
        <v>661981</v>
      </c>
      <c r="O262" s="9">
        <v>0.61441427560999995</v>
      </c>
      <c r="P262">
        <v>323894</v>
      </c>
      <c r="Q262" s="9">
        <v>0.30062055767000001</v>
      </c>
      <c r="R262">
        <f>Telengana_Results_2024[[#This Row],[BJP votes]]-Telengana_Results_2024[[#This Row],[Max Votes Other Than BJP]]</f>
        <v>-338087</v>
      </c>
      <c r="S262" s="10">
        <f>Telengana_Results_2024[[#This Row],[BJP vote share]]-Telengana_Results_2024[[#This Row],[Max Vote share other than bjp ]]</f>
        <v>-0.31379371793999994</v>
      </c>
      <c r="T262">
        <v>2217305</v>
      </c>
      <c r="U262" s="8">
        <v>0.48792475549999997</v>
      </c>
      <c r="V262" s="1" t="s">
        <v>68</v>
      </c>
    </row>
    <row r="263" spans="1:22" x14ac:dyDescent="0.35">
      <c r="A263">
        <v>2024</v>
      </c>
      <c r="B263" s="1" t="s">
        <v>19</v>
      </c>
      <c r="C263" s="1" t="s">
        <v>580</v>
      </c>
      <c r="D263" s="1" t="s">
        <v>1100</v>
      </c>
      <c r="E263" s="1" t="s">
        <v>21</v>
      </c>
      <c r="F263" s="1" t="s">
        <v>75</v>
      </c>
      <c r="G263" s="1" t="s">
        <v>67</v>
      </c>
      <c r="H263" s="1" t="s">
        <v>1101</v>
      </c>
      <c r="I263" s="1" t="s">
        <v>820</v>
      </c>
      <c r="J263">
        <v>1081878</v>
      </c>
      <c r="K263">
        <v>1077418</v>
      </c>
      <c r="L263">
        <v>423</v>
      </c>
      <c r="M263" s="9">
        <v>3.9260528410999998E-4</v>
      </c>
      <c r="N263">
        <v>661981</v>
      </c>
      <c r="O263" s="9">
        <v>0.61441427560999995</v>
      </c>
      <c r="P263">
        <v>323894</v>
      </c>
      <c r="Q263" s="9">
        <v>0.30062055767000001</v>
      </c>
      <c r="R263">
        <f>Telengana_Results_2024[[#This Row],[BJP votes]]-Telengana_Results_2024[[#This Row],[Max Votes Other Than BJP]]</f>
        <v>-338087</v>
      </c>
      <c r="S263" s="10">
        <f>Telengana_Results_2024[[#This Row],[BJP vote share]]-Telengana_Results_2024[[#This Row],[Max Vote share other than bjp ]]</f>
        <v>-0.31379371793999994</v>
      </c>
      <c r="T263">
        <v>2217305</v>
      </c>
      <c r="U263" s="8">
        <v>0.48792475549999997</v>
      </c>
      <c r="V263" s="1" t="s">
        <v>68</v>
      </c>
    </row>
    <row r="264" spans="1:22" x14ac:dyDescent="0.35">
      <c r="A264">
        <v>2024</v>
      </c>
      <c r="B264" s="1" t="s">
        <v>19</v>
      </c>
      <c r="C264" s="1" t="s">
        <v>580</v>
      </c>
      <c r="D264" s="1" t="s">
        <v>1102</v>
      </c>
      <c r="E264" s="1" t="s">
        <v>35</v>
      </c>
      <c r="F264" s="1" t="s">
        <v>379</v>
      </c>
      <c r="G264" s="1" t="s">
        <v>112</v>
      </c>
      <c r="H264" s="1" t="s">
        <v>800</v>
      </c>
      <c r="I264" s="1" t="s">
        <v>54</v>
      </c>
      <c r="J264">
        <v>1081878</v>
      </c>
      <c r="K264">
        <v>1077418</v>
      </c>
      <c r="L264">
        <v>411</v>
      </c>
      <c r="M264" s="9">
        <v>3.8146754555999998E-4</v>
      </c>
      <c r="N264">
        <v>661981</v>
      </c>
      <c r="O264" s="9">
        <v>0.61441427560999995</v>
      </c>
      <c r="P264">
        <v>323894</v>
      </c>
      <c r="Q264" s="9">
        <v>0.30062055767000001</v>
      </c>
      <c r="R264">
        <f>Telengana_Results_2024[[#This Row],[BJP votes]]-Telengana_Results_2024[[#This Row],[Max Votes Other Than BJP]]</f>
        <v>-338087</v>
      </c>
      <c r="S264" s="10">
        <f>Telengana_Results_2024[[#This Row],[BJP vote share]]-Telengana_Results_2024[[#This Row],[Max Vote share other than bjp ]]</f>
        <v>-0.31379371793999994</v>
      </c>
      <c r="T264">
        <v>2217305</v>
      </c>
      <c r="U264" s="8">
        <v>0.48792475549999997</v>
      </c>
      <c r="V264" s="1" t="s">
        <v>68</v>
      </c>
    </row>
    <row r="265" spans="1:22" x14ac:dyDescent="0.35">
      <c r="A265">
        <v>2024</v>
      </c>
      <c r="B265" s="1" t="s">
        <v>19</v>
      </c>
      <c r="C265" s="1" t="s">
        <v>580</v>
      </c>
      <c r="D265" s="1" t="s">
        <v>1103</v>
      </c>
      <c r="E265" s="1" t="s">
        <v>35</v>
      </c>
      <c r="F265" s="1" t="s">
        <v>117</v>
      </c>
      <c r="G265" s="1" t="s">
        <v>112</v>
      </c>
      <c r="H265" s="1" t="s">
        <v>1104</v>
      </c>
      <c r="I265" s="1" t="s">
        <v>793</v>
      </c>
      <c r="J265">
        <v>1081878</v>
      </c>
      <c r="K265">
        <v>1077418</v>
      </c>
      <c r="L265">
        <v>281</v>
      </c>
      <c r="M265" s="9">
        <v>2.608087112E-4</v>
      </c>
      <c r="N265">
        <v>661981</v>
      </c>
      <c r="O265" s="9">
        <v>0.61441427560999995</v>
      </c>
      <c r="P265">
        <v>323894</v>
      </c>
      <c r="Q265" s="9">
        <v>0.30062055767000001</v>
      </c>
      <c r="R265">
        <f>Telengana_Results_2024[[#This Row],[BJP votes]]-Telengana_Results_2024[[#This Row],[Max Votes Other Than BJP]]</f>
        <v>-338087</v>
      </c>
      <c r="S265" s="10">
        <f>Telengana_Results_2024[[#This Row],[BJP vote share]]-Telengana_Results_2024[[#This Row],[Max Vote share other than bjp ]]</f>
        <v>-0.31379371793999994</v>
      </c>
      <c r="T265">
        <v>2217305</v>
      </c>
      <c r="U265" s="8">
        <v>0.48792475549999997</v>
      </c>
      <c r="V265" s="1" t="s">
        <v>68</v>
      </c>
    </row>
    <row r="266" spans="1:22" x14ac:dyDescent="0.35">
      <c r="A266">
        <v>2024</v>
      </c>
      <c r="B266" s="1" t="s">
        <v>19</v>
      </c>
      <c r="C266" s="1" t="s">
        <v>580</v>
      </c>
      <c r="D266" s="1" t="s">
        <v>1105</v>
      </c>
      <c r="E266" s="1" t="s">
        <v>21</v>
      </c>
      <c r="F266" s="1" t="s">
        <v>117</v>
      </c>
      <c r="G266" s="1" t="s">
        <v>23</v>
      </c>
      <c r="H266" s="1" t="s">
        <v>853</v>
      </c>
      <c r="I266" s="1" t="s">
        <v>791</v>
      </c>
      <c r="J266">
        <v>1081878</v>
      </c>
      <c r="K266">
        <v>1077418</v>
      </c>
      <c r="L266">
        <v>276</v>
      </c>
      <c r="M266" s="9">
        <v>2.5616798680000002E-4</v>
      </c>
      <c r="N266">
        <v>661981</v>
      </c>
      <c r="O266" s="9">
        <v>0.61441427560999995</v>
      </c>
      <c r="P266">
        <v>323894</v>
      </c>
      <c r="Q266" s="9">
        <v>0.30062055767000001</v>
      </c>
      <c r="R266">
        <f>Telengana_Results_2024[[#This Row],[BJP votes]]-Telengana_Results_2024[[#This Row],[Max Votes Other Than BJP]]</f>
        <v>-338087</v>
      </c>
      <c r="S266" s="10">
        <f>Telengana_Results_2024[[#This Row],[BJP vote share]]-Telengana_Results_2024[[#This Row],[Max Vote share other than bjp ]]</f>
        <v>-0.31379371793999994</v>
      </c>
      <c r="T266">
        <v>2217305</v>
      </c>
      <c r="U266" s="8">
        <v>0.48792475549999997</v>
      </c>
      <c r="V266" s="1" t="s">
        <v>68</v>
      </c>
    </row>
    <row r="267" spans="1:22" x14ac:dyDescent="0.35">
      <c r="A267">
        <v>2024</v>
      </c>
      <c r="B267" s="1" t="s">
        <v>19</v>
      </c>
      <c r="C267" s="1" t="s">
        <v>580</v>
      </c>
      <c r="D267" s="1" t="s">
        <v>1106</v>
      </c>
      <c r="E267" s="1" t="s">
        <v>21</v>
      </c>
      <c r="F267" s="1" t="s">
        <v>56</v>
      </c>
      <c r="G267" s="1" t="s">
        <v>112</v>
      </c>
      <c r="H267" s="1" t="s">
        <v>798</v>
      </c>
      <c r="I267" s="1" t="s">
        <v>749</v>
      </c>
      <c r="J267">
        <v>1081878</v>
      </c>
      <c r="K267">
        <v>1077418</v>
      </c>
      <c r="L267">
        <v>271</v>
      </c>
      <c r="M267" s="9">
        <v>2.5152726239999998E-4</v>
      </c>
      <c r="N267">
        <v>661981</v>
      </c>
      <c r="O267" s="9">
        <v>0.61441427560999995</v>
      </c>
      <c r="P267">
        <v>323894</v>
      </c>
      <c r="Q267" s="9">
        <v>0.30062055767000001</v>
      </c>
      <c r="R267">
        <f>Telengana_Results_2024[[#This Row],[BJP votes]]-Telengana_Results_2024[[#This Row],[Max Votes Other Than BJP]]</f>
        <v>-338087</v>
      </c>
      <c r="S267" s="10">
        <f>Telengana_Results_2024[[#This Row],[BJP vote share]]-Telengana_Results_2024[[#This Row],[Max Vote share other than bjp ]]</f>
        <v>-0.31379371793999994</v>
      </c>
      <c r="T267">
        <v>2217305</v>
      </c>
      <c r="U267" s="8">
        <v>0.48792475549999997</v>
      </c>
      <c r="V267" s="1" t="s">
        <v>68</v>
      </c>
    </row>
    <row r="268" spans="1:22" x14ac:dyDescent="0.35">
      <c r="A268">
        <v>2024</v>
      </c>
      <c r="B268" s="1" t="s">
        <v>19</v>
      </c>
      <c r="C268" s="1" t="s">
        <v>580</v>
      </c>
      <c r="D268" s="1" t="s">
        <v>1107</v>
      </c>
      <c r="E268" s="1" t="s">
        <v>21</v>
      </c>
      <c r="F268" s="1" t="s">
        <v>80</v>
      </c>
      <c r="G268" s="1" t="s">
        <v>112</v>
      </c>
      <c r="H268" s="1" t="s">
        <v>53</v>
      </c>
      <c r="I268" s="1" t="s">
        <v>483</v>
      </c>
      <c r="J268">
        <v>1081878</v>
      </c>
      <c r="K268">
        <v>1077418</v>
      </c>
      <c r="L268">
        <v>251</v>
      </c>
      <c r="M268" s="9">
        <v>2.3296436481E-4</v>
      </c>
      <c r="N268">
        <v>661981</v>
      </c>
      <c r="O268" s="9">
        <v>0.61441427560999995</v>
      </c>
      <c r="P268">
        <v>323894</v>
      </c>
      <c r="Q268" s="9">
        <v>0.30062055767000001</v>
      </c>
      <c r="R268">
        <f>Telengana_Results_2024[[#This Row],[BJP votes]]-Telengana_Results_2024[[#This Row],[Max Votes Other Than BJP]]</f>
        <v>-338087</v>
      </c>
      <c r="S268" s="10">
        <f>Telengana_Results_2024[[#This Row],[BJP vote share]]-Telengana_Results_2024[[#This Row],[Max Vote share other than bjp ]]</f>
        <v>-0.31379371793999994</v>
      </c>
      <c r="T268">
        <v>2217305</v>
      </c>
      <c r="U268" s="8">
        <v>0.48792475549999997</v>
      </c>
      <c r="V268" s="1" t="s">
        <v>68</v>
      </c>
    </row>
    <row r="269" spans="1:22" x14ac:dyDescent="0.35">
      <c r="A269">
        <v>2024</v>
      </c>
      <c r="B269" s="1" t="s">
        <v>19</v>
      </c>
      <c r="C269" s="1" t="s">
        <v>580</v>
      </c>
      <c r="D269" s="1" t="s">
        <v>1108</v>
      </c>
      <c r="E269" s="1" t="s">
        <v>21</v>
      </c>
      <c r="F269" s="1" t="s">
        <v>91</v>
      </c>
      <c r="G269" s="1" t="s">
        <v>112</v>
      </c>
      <c r="H269" s="1" t="s">
        <v>1053</v>
      </c>
      <c r="I269" s="1" t="s">
        <v>846</v>
      </c>
      <c r="J269">
        <v>1081878</v>
      </c>
      <c r="K269">
        <v>1077418</v>
      </c>
      <c r="L269">
        <v>234</v>
      </c>
      <c r="M269" s="9">
        <v>2.1718590185000001E-4</v>
      </c>
      <c r="N269">
        <v>661981</v>
      </c>
      <c r="O269" s="9">
        <v>0.61441427560999995</v>
      </c>
      <c r="P269">
        <v>323894</v>
      </c>
      <c r="Q269" s="9">
        <v>0.30062055767000001</v>
      </c>
      <c r="R269">
        <f>Telengana_Results_2024[[#This Row],[BJP votes]]-Telengana_Results_2024[[#This Row],[Max Votes Other Than BJP]]</f>
        <v>-338087</v>
      </c>
      <c r="S269" s="10">
        <f>Telengana_Results_2024[[#This Row],[BJP vote share]]-Telengana_Results_2024[[#This Row],[Max Vote share other than bjp ]]</f>
        <v>-0.31379371793999994</v>
      </c>
      <c r="T269">
        <v>2217305</v>
      </c>
      <c r="U269" s="8">
        <v>0.48792475549999997</v>
      </c>
      <c r="V269" s="1" t="s">
        <v>68</v>
      </c>
    </row>
    <row r="270" spans="1:22" x14ac:dyDescent="0.35">
      <c r="A270">
        <v>2024</v>
      </c>
      <c r="B270" s="1" t="s">
        <v>19</v>
      </c>
      <c r="C270" s="1" t="s">
        <v>580</v>
      </c>
      <c r="D270" s="1" t="s">
        <v>1109</v>
      </c>
      <c r="E270" s="1" t="s">
        <v>21</v>
      </c>
      <c r="F270" s="1" t="s">
        <v>62</v>
      </c>
      <c r="G270" s="1" t="s">
        <v>112</v>
      </c>
      <c r="H270" s="1" t="s">
        <v>53</v>
      </c>
      <c r="I270" s="1" t="s">
        <v>911</v>
      </c>
      <c r="J270">
        <v>1081878</v>
      </c>
      <c r="K270">
        <v>1077418</v>
      </c>
      <c r="L270">
        <v>196</v>
      </c>
      <c r="M270" s="9">
        <v>1.8191639642E-4</v>
      </c>
      <c r="N270">
        <v>661981</v>
      </c>
      <c r="O270" s="9">
        <v>0.61441427560999995</v>
      </c>
      <c r="P270">
        <v>323894</v>
      </c>
      <c r="Q270" s="9">
        <v>0.30062055767000001</v>
      </c>
      <c r="R270">
        <f>Telengana_Results_2024[[#This Row],[BJP votes]]-Telengana_Results_2024[[#This Row],[Max Votes Other Than BJP]]</f>
        <v>-338087</v>
      </c>
      <c r="S270" s="10">
        <f>Telengana_Results_2024[[#This Row],[BJP vote share]]-Telengana_Results_2024[[#This Row],[Max Vote share other than bjp ]]</f>
        <v>-0.31379371793999994</v>
      </c>
      <c r="T270">
        <v>2217305</v>
      </c>
      <c r="U270" s="8">
        <v>0.48792475549999997</v>
      </c>
      <c r="V270" s="1" t="s">
        <v>68</v>
      </c>
    </row>
    <row r="271" spans="1:22" x14ac:dyDescent="0.35">
      <c r="A271">
        <v>2024</v>
      </c>
      <c r="B271" s="1" t="s">
        <v>19</v>
      </c>
      <c r="C271" s="1" t="s">
        <v>580</v>
      </c>
      <c r="D271" s="1" t="s">
        <v>1110</v>
      </c>
      <c r="E271" s="1" t="s">
        <v>21</v>
      </c>
      <c r="F271" s="1" t="s">
        <v>28</v>
      </c>
      <c r="G271" s="1" t="s">
        <v>112</v>
      </c>
      <c r="H271" s="1" t="s">
        <v>860</v>
      </c>
      <c r="I271" s="1" t="s">
        <v>897</v>
      </c>
      <c r="J271">
        <v>1081878</v>
      </c>
      <c r="K271">
        <v>1077418</v>
      </c>
      <c r="L271">
        <v>162</v>
      </c>
      <c r="M271" s="9">
        <v>1.5035947050999999E-4</v>
      </c>
      <c r="N271">
        <v>661981</v>
      </c>
      <c r="O271" s="9">
        <v>0.61441427560999995</v>
      </c>
      <c r="P271">
        <v>323894</v>
      </c>
      <c r="Q271" s="9">
        <v>0.30062055767000001</v>
      </c>
      <c r="R271">
        <f>Telengana_Results_2024[[#This Row],[BJP votes]]-Telengana_Results_2024[[#This Row],[Max Votes Other Than BJP]]</f>
        <v>-338087</v>
      </c>
      <c r="S271" s="10">
        <f>Telengana_Results_2024[[#This Row],[BJP vote share]]-Telengana_Results_2024[[#This Row],[Max Vote share other than bjp ]]</f>
        <v>-0.31379371793999994</v>
      </c>
      <c r="T271">
        <v>2217305</v>
      </c>
      <c r="U271" s="8">
        <v>0.48792475549999997</v>
      </c>
      <c r="V271" s="1" t="s">
        <v>68</v>
      </c>
    </row>
    <row r="272" spans="1:22" x14ac:dyDescent="0.35">
      <c r="A272">
        <v>2024</v>
      </c>
      <c r="B272" s="1" t="s">
        <v>19</v>
      </c>
      <c r="C272" s="1" t="s">
        <v>580</v>
      </c>
      <c r="D272" s="1" t="s">
        <v>1111</v>
      </c>
      <c r="E272" s="1" t="s">
        <v>21</v>
      </c>
      <c r="F272" s="1" t="s">
        <v>362</v>
      </c>
      <c r="G272" s="1" t="s">
        <v>112</v>
      </c>
      <c r="H272" s="1" t="s">
        <v>560</v>
      </c>
      <c r="I272" s="1" t="s">
        <v>232</v>
      </c>
      <c r="J272">
        <v>1081878</v>
      </c>
      <c r="K272">
        <v>1077418</v>
      </c>
      <c r="L272">
        <v>153</v>
      </c>
      <c r="M272" s="9">
        <v>1.4200616659000001E-4</v>
      </c>
      <c r="N272">
        <v>661981</v>
      </c>
      <c r="O272" s="9">
        <v>0.61441427560999995</v>
      </c>
      <c r="P272">
        <v>323894</v>
      </c>
      <c r="Q272" s="9">
        <v>0.30062055767000001</v>
      </c>
      <c r="R272">
        <f>Telengana_Results_2024[[#This Row],[BJP votes]]-Telengana_Results_2024[[#This Row],[Max Votes Other Than BJP]]</f>
        <v>-338087</v>
      </c>
      <c r="S272" s="10">
        <f>Telengana_Results_2024[[#This Row],[BJP vote share]]-Telengana_Results_2024[[#This Row],[Max Vote share other than bjp ]]</f>
        <v>-0.31379371793999994</v>
      </c>
      <c r="T272">
        <v>2217305</v>
      </c>
      <c r="U272" s="8">
        <v>0.48792475549999997</v>
      </c>
      <c r="V272" s="1" t="s">
        <v>68</v>
      </c>
    </row>
    <row r="273" spans="1:22" x14ac:dyDescent="0.35">
      <c r="A273">
        <v>2024</v>
      </c>
      <c r="B273" s="1" t="s">
        <v>19</v>
      </c>
      <c r="C273" s="1" t="s">
        <v>580</v>
      </c>
      <c r="D273" s="1" t="s">
        <v>1112</v>
      </c>
      <c r="E273" s="1" t="s">
        <v>21</v>
      </c>
      <c r="F273" s="1" t="s">
        <v>62</v>
      </c>
      <c r="G273" s="1" t="s">
        <v>112</v>
      </c>
      <c r="H273" s="1" t="s">
        <v>53</v>
      </c>
      <c r="I273" s="1" t="s">
        <v>284</v>
      </c>
      <c r="J273">
        <v>1081878</v>
      </c>
      <c r="K273">
        <v>1077418</v>
      </c>
      <c r="L273">
        <v>149</v>
      </c>
      <c r="M273" s="9">
        <v>1.3829358708000001E-4</v>
      </c>
      <c r="N273">
        <v>661981</v>
      </c>
      <c r="O273" s="9">
        <v>0.61441427560999995</v>
      </c>
      <c r="P273">
        <v>323894</v>
      </c>
      <c r="Q273" s="9">
        <v>0.30062055767000001</v>
      </c>
      <c r="R273">
        <f>Telengana_Results_2024[[#This Row],[BJP votes]]-Telengana_Results_2024[[#This Row],[Max Votes Other Than BJP]]</f>
        <v>-338087</v>
      </c>
      <c r="S273" s="10">
        <f>Telengana_Results_2024[[#This Row],[BJP vote share]]-Telengana_Results_2024[[#This Row],[Max Vote share other than bjp ]]</f>
        <v>-0.31379371793999994</v>
      </c>
      <c r="T273">
        <v>2217305</v>
      </c>
      <c r="U273" s="8">
        <v>0.48792475549999997</v>
      </c>
      <c r="V273" s="1" t="s">
        <v>68</v>
      </c>
    </row>
    <row r="274" spans="1:22" x14ac:dyDescent="0.35">
      <c r="A274">
        <v>2024</v>
      </c>
      <c r="B274" s="1" t="s">
        <v>19</v>
      </c>
      <c r="C274" s="1" t="s">
        <v>580</v>
      </c>
      <c r="D274" s="1" t="s">
        <v>1113</v>
      </c>
      <c r="E274" s="1" t="s">
        <v>21</v>
      </c>
      <c r="F274" s="1" t="s">
        <v>22</v>
      </c>
      <c r="G274" s="1" t="s">
        <v>67</v>
      </c>
      <c r="H274" s="1" t="s">
        <v>1114</v>
      </c>
      <c r="I274" s="1" t="s">
        <v>1115</v>
      </c>
      <c r="J274">
        <v>1081878</v>
      </c>
      <c r="K274">
        <v>1077418</v>
      </c>
      <c r="L274">
        <v>141</v>
      </c>
      <c r="M274" s="9">
        <v>1.3086842804E-4</v>
      </c>
      <c r="N274">
        <v>661981</v>
      </c>
      <c r="O274" s="9">
        <v>0.61441427560999995</v>
      </c>
      <c r="P274">
        <v>323894</v>
      </c>
      <c r="Q274" s="9">
        <v>0.30062055767000001</v>
      </c>
      <c r="R274">
        <f>Telengana_Results_2024[[#This Row],[BJP votes]]-Telengana_Results_2024[[#This Row],[Max Votes Other Than BJP]]</f>
        <v>-338087</v>
      </c>
      <c r="S274" s="10">
        <f>Telengana_Results_2024[[#This Row],[BJP vote share]]-Telengana_Results_2024[[#This Row],[Max Vote share other than bjp ]]</f>
        <v>-0.31379371793999994</v>
      </c>
      <c r="T274">
        <v>2217305</v>
      </c>
      <c r="U274" s="8">
        <v>0.48792475549999997</v>
      </c>
      <c r="V274" s="1" t="s">
        <v>68</v>
      </c>
    </row>
    <row r="275" spans="1:22" x14ac:dyDescent="0.35">
      <c r="A275">
        <v>2024</v>
      </c>
      <c r="B275" s="1" t="s">
        <v>19</v>
      </c>
      <c r="C275" s="1" t="s">
        <v>580</v>
      </c>
      <c r="D275" s="1" t="s">
        <v>1116</v>
      </c>
      <c r="E275" s="1" t="s">
        <v>21</v>
      </c>
      <c r="F275" s="1" t="s">
        <v>59</v>
      </c>
      <c r="G275" s="1" t="s">
        <v>112</v>
      </c>
      <c r="H275" s="1" t="s">
        <v>1117</v>
      </c>
      <c r="I275" s="1" t="s">
        <v>194</v>
      </c>
      <c r="J275">
        <v>1081878</v>
      </c>
      <c r="K275">
        <v>1077418</v>
      </c>
      <c r="L275">
        <v>141</v>
      </c>
      <c r="M275" s="9">
        <v>1.3086842804E-4</v>
      </c>
      <c r="N275">
        <v>661981</v>
      </c>
      <c r="O275" s="9">
        <v>0.61441427560999995</v>
      </c>
      <c r="P275">
        <v>323894</v>
      </c>
      <c r="Q275" s="9">
        <v>0.30062055767000001</v>
      </c>
      <c r="R275">
        <f>Telengana_Results_2024[[#This Row],[BJP votes]]-Telengana_Results_2024[[#This Row],[Max Votes Other Than BJP]]</f>
        <v>-338087</v>
      </c>
      <c r="S275" s="10">
        <f>Telengana_Results_2024[[#This Row],[BJP vote share]]-Telengana_Results_2024[[#This Row],[Max Vote share other than bjp ]]</f>
        <v>-0.31379371793999994</v>
      </c>
      <c r="T275">
        <v>2217305</v>
      </c>
      <c r="U275" s="8">
        <v>0.48792475549999997</v>
      </c>
      <c r="V275" s="1" t="s">
        <v>68</v>
      </c>
    </row>
    <row r="276" spans="1:22" x14ac:dyDescent="0.35">
      <c r="A276">
        <v>2024</v>
      </c>
      <c r="B276" s="1" t="s">
        <v>19</v>
      </c>
      <c r="C276" s="1" t="s">
        <v>580</v>
      </c>
      <c r="D276" s="1" t="s">
        <v>1118</v>
      </c>
      <c r="E276" s="1" t="s">
        <v>21</v>
      </c>
      <c r="F276" s="1" t="s">
        <v>22</v>
      </c>
      <c r="G276" s="1" t="s">
        <v>112</v>
      </c>
      <c r="H276" s="1" t="s">
        <v>53</v>
      </c>
      <c r="I276" s="1" t="s">
        <v>826</v>
      </c>
      <c r="J276">
        <v>1081878</v>
      </c>
      <c r="K276">
        <v>1077418</v>
      </c>
      <c r="L276">
        <v>138</v>
      </c>
      <c r="M276" s="9">
        <v>1.2808399340000001E-4</v>
      </c>
      <c r="N276">
        <v>661981</v>
      </c>
      <c r="O276" s="9">
        <v>0.61441427560999995</v>
      </c>
      <c r="P276">
        <v>323894</v>
      </c>
      <c r="Q276" s="9">
        <v>0.30062055767000001</v>
      </c>
      <c r="R276">
        <f>Telengana_Results_2024[[#This Row],[BJP votes]]-Telengana_Results_2024[[#This Row],[Max Votes Other Than BJP]]</f>
        <v>-338087</v>
      </c>
      <c r="S276" s="10">
        <f>Telengana_Results_2024[[#This Row],[BJP vote share]]-Telengana_Results_2024[[#This Row],[Max Vote share other than bjp ]]</f>
        <v>-0.31379371793999994</v>
      </c>
      <c r="T276">
        <v>2217305</v>
      </c>
      <c r="U276" s="8">
        <v>0.48792475549999997</v>
      </c>
      <c r="V276" s="1" t="s">
        <v>68</v>
      </c>
    </row>
    <row r="277" spans="1:22" x14ac:dyDescent="0.35">
      <c r="A277">
        <v>2024</v>
      </c>
      <c r="B277" s="1" t="s">
        <v>19</v>
      </c>
      <c r="C277" s="1" t="s">
        <v>580</v>
      </c>
      <c r="D277" s="1" t="s">
        <v>1119</v>
      </c>
      <c r="E277" s="1" t="s">
        <v>21</v>
      </c>
      <c r="F277" s="1" t="s">
        <v>125</v>
      </c>
      <c r="G277" s="1" t="s">
        <v>67</v>
      </c>
      <c r="H277" s="1" t="s">
        <v>150</v>
      </c>
      <c r="I277" s="1" t="s">
        <v>151</v>
      </c>
      <c r="J277">
        <v>1081878</v>
      </c>
      <c r="K277">
        <v>1077418</v>
      </c>
      <c r="L277">
        <v>133</v>
      </c>
      <c r="M277" s="9">
        <v>1.23443269E-4</v>
      </c>
      <c r="N277">
        <v>661981</v>
      </c>
      <c r="O277" s="9">
        <v>0.61441427560999995</v>
      </c>
      <c r="P277">
        <v>323894</v>
      </c>
      <c r="Q277" s="9">
        <v>0.30062055767000001</v>
      </c>
      <c r="R277">
        <f>Telengana_Results_2024[[#This Row],[BJP votes]]-Telengana_Results_2024[[#This Row],[Max Votes Other Than BJP]]</f>
        <v>-338087</v>
      </c>
      <c r="S277" s="10">
        <f>Telengana_Results_2024[[#This Row],[BJP vote share]]-Telengana_Results_2024[[#This Row],[Max Vote share other than bjp ]]</f>
        <v>-0.31379371793999994</v>
      </c>
      <c r="T277">
        <v>2217305</v>
      </c>
      <c r="U277" s="8">
        <v>0.48792475549999997</v>
      </c>
      <c r="V277" s="1" t="s">
        <v>68</v>
      </c>
    </row>
    <row r="278" spans="1:22" x14ac:dyDescent="0.35">
      <c r="A278">
        <v>2024</v>
      </c>
      <c r="B278" s="1" t="s">
        <v>19</v>
      </c>
      <c r="C278" s="1" t="s">
        <v>580</v>
      </c>
      <c r="D278" s="1" t="s">
        <v>1120</v>
      </c>
      <c r="E278" s="1" t="s">
        <v>21</v>
      </c>
      <c r="F278" s="1" t="s">
        <v>183</v>
      </c>
      <c r="G278" s="1" t="s">
        <v>112</v>
      </c>
      <c r="H278" s="1" t="s">
        <v>53</v>
      </c>
      <c r="I278" s="1" t="s">
        <v>1121</v>
      </c>
      <c r="J278">
        <v>1081878</v>
      </c>
      <c r="K278">
        <v>1077418</v>
      </c>
      <c r="L278">
        <v>123</v>
      </c>
      <c r="M278" s="9">
        <v>1.1416182020000001E-4</v>
      </c>
      <c r="N278">
        <v>661981</v>
      </c>
      <c r="O278" s="9">
        <v>0.61441427560999995</v>
      </c>
      <c r="P278">
        <v>323894</v>
      </c>
      <c r="Q278" s="9">
        <v>0.30062055767000001</v>
      </c>
      <c r="R278">
        <f>Telengana_Results_2024[[#This Row],[BJP votes]]-Telengana_Results_2024[[#This Row],[Max Votes Other Than BJP]]</f>
        <v>-338087</v>
      </c>
      <c r="S278" s="10">
        <f>Telengana_Results_2024[[#This Row],[BJP vote share]]-Telengana_Results_2024[[#This Row],[Max Vote share other than bjp ]]</f>
        <v>-0.31379371793999994</v>
      </c>
      <c r="T278">
        <v>2217305</v>
      </c>
      <c r="U278" s="8">
        <v>0.48792475549999997</v>
      </c>
      <c r="V278" s="1" t="s">
        <v>68</v>
      </c>
    </row>
    <row r="279" spans="1:22" x14ac:dyDescent="0.35">
      <c r="A279">
        <v>2024</v>
      </c>
      <c r="B279" s="1" t="s">
        <v>19</v>
      </c>
      <c r="C279" s="1" t="s">
        <v>580</v>
      </c>
      <c r="D279" s="1" t="s">
        <v>1122</v>
      </c>
      <c r="E279" s="1" t="s">
        <v>21</v>
      </c>
      <c r="F279" s="1" t="s">
        <v>234</v>
      </c>
      <c r="G279" s="1" t="s">
        <v>112</v>
      </c>
      <c r="H279" s="1" t="s">
        <v>53</v>
      </c>
      <c r="I279" s="1" t="s">
        <v>457</v>
      </c>
      <c r="J279">
        <v>1081878</v>
      </c>
      <c r="K279">
        <v>1077418</v>
      </c>
      <c r="L279">
        <v>111</v>
      </c>
      <c r="M279" s="9">
        <v>1.0302408165E-4</v>
      </c>
      <c r="N279">
        <v>661981</v>
      </c>
      <c r="O279" s="9">
        <v>0.61441427560999995</v>
      </c>
      <c r="P279">
        <v>323894</v>
      </c>
      <c r="Q279" s="9">
        <v>0.30062055767000001</v>
      </c>
      <c r="R279">
        <f>Telengana_Results_2024[[#This Row],[BJP votes]]-Telengana_Results_2024[[#This Row],[Max Votes Other Than BJP]]</f>
        <v>-338087</v>
      </c>
      <c r="S279" s="10">
        <f>Telengana_Results_2024[[#This Row],[BJP vote share]]-Telengana_Results_2024[[#This Row],[Max Vote share other than bjp ]]</f>
        <v>-0.31379371793999994</v>
      </c>
      <c r="T279">
        <v>2217305</v>
      </c>
      <c r="U279" s="8">
        <v>0.48792475549999997</v>
      </c>
      <c r="V279" s="1" t="s">
        <v>68</v>
      </c>
    </row>
    <row r="280" spans="1:22" x14ac:dyDescent="0.35">
      <c r="A280">
        <v>2024</v>
      </c>
      <c r="B280" s="1" t="s">
        <v>19</v>
      </c>
      <c r="C280" s="1" t="s">
        <v>580</v>
      </c>
      <c r="D280" s="1" t="s">
        <v>1123</v>
      </c>
      <c r="E280" s="1" t="s">
        <v>21</v>
      </c>
      <c r="F280" s="1" t="s">
        <v>48</v>
      </c>
      <c r="G280" s="1" t="s">
        <v>112</v>
      </c>
      <c r="H280" s="1" t="s">
        <v>53</v>
      </c>
      <c r="I280" s="1" t="s">
        <v>129</v>
      </c>
      <c r="J280">
        <v>1081878</v>
      </c>
      <c r="K280">
        <v>1077418</v>
      </c>
      <c r="L280">
        <v>110</v>
      </c>
      <c r="M280" s="9">
        <v>1.0209593676999999E-4</v>
      </c>
      <c r="N280">
        <v>661981</v>
      </c>
      <c r="O280" s="9">
        <v>0.61441427560999995</v>
      </c>
      <c r="P280">
        <v>323894</v>
      </c>
      <c r="Q280" s="9">
        <v>0.30062055767000001</v>
      </c>
      <c r="R280">
        <f>Telengana_Results_2024[[#This Row],[BJP votes]]-Telengana_Results_2024[[#This Row],[Max Votes Other Than BJP]]</f>
        <v>-338087</v>
      </c>
      <c r="S280" s="10">
        <f>Telengana_Results_2024[[#This Row],[BJP vote share]]-Telengana_Results_2024[[#This Row],[Max Vote share other than bjp ]]</f>
        <v>-0.31379371793999994</v>
      </c>
      <c r="T280">
        <v>2217305</v>
      </c>
      <c r="U280" s="8">
        <v>0.48792475549999997</v>
      </c>
      <c r="V280" s="1" t="s">
        <v>68</v>
      </c>
    </row>
    <row r="281" spans="1:22" x14ac:dyDescent="0.35">
      <c r="A281">
        <v>2024</v>
      </c>
      <c r="B281" s="1" t="s">
        <v>19</v>
      </c>
      <c r="C281" s="1" t="s">
        <v>580</v>
      </c>
      <c r="D281" s="1" t="s">
        <v>1124</v>
      </c>
      <c r="E281" s="1" t="s">
        <v>21</v>
      </c>
      <c r="F281" s="1" t="s">
        <v>125</v>
      </c>
      <c r="G281" s="1" t="s">
        <v>112</v>
      </c>
      <c r="H281" s="1" t="s">
        <v>1125</v>
      </c>
      <c r="I281" s="1" t="s">
        <v>167</v>
      </c>
      <c r="J281">
        <v>1081878</v>
      </c>
      <c r="K281">
        <v>1077418</v>
      </c>
      <c r="L281">
        <v>103</v>
      </c>
      <c r="M281" s="9">
        <v>9.5598922608999996E-5</v>
      </c>
      <c r="N281">
        <v>661981</v>
      </c>
      <c r="O281" s="9">
        <v>0.61441427560999995</v>
      </c>
      <c r="P281">
        <v>323894</v>
      </c>
      <c r="Q281" s="9">
        <v>0.30062055767000001</v>
      </c>
      <c r="R281">
        <f>Telengana_Results_2024[[#This Row],[BJP votes]]-Telengana_Results_2024[[#This Row],[Max Votes Other Than BJP]]</f>
        <v>-338087</v>
      </c>
      <c r="S281" s="10">
        <f>Telengana_Results_2024[[#This Row],[BJP vote share]]-Telengana_Results_2024[[#This Row],[Max Vote share other than bjp ]]</f>
        <v>-0.31379371793999994</v>
      </c>
      <c r="T281">
        <v>2217305</v>
      </c>
      <c r="U281" s="8">
        <v>0.48792475549999997</v>
      </c>
      <c r="V281" s="1" t="s">
        <v>68</v>
      </c>
    </row>
    <row r="282" spans="1:22" x14ac:dyDescent="0.35">
      <c r="A282">
        <v>2024</v>
      </c>
      <c r="B282" s="1" t="s">
        <v>19</v>
      </c>
      <c r="C282" s="1" t="s">
        <v>1126</v>
      </c>
      <c r="D282" s="1" t="s">
        <v>1127</v>
      </c>
      <c r="E282" s="1" t="s">
        <v>21</v>
      </c>
      <c r="F282" s="1" t="s">
        <v>559</v>
      </c>
      <c r="G282" s="1" t="s">
        <v>112</v>
      </c>
      <c r="H282" s="1" t="s">
        <v>32</v>
      </c>
      <c r="I282" s="1" t="s">
        <v>33</v>
      </c>
      <c r="J282">
        <v>1676124</v>
      </c>
      <c r="K282">
        <v>1668931</v>
      </c>
      <c r="L282">
        <v>809882</v>
      </c>
      <c r="M282" s="9">
        <v>0.48526991229999999</v>
      </c>
      <c r="N282">
        <v>636985</v>
      </c>
      <c r="O282" s="9">
        <v>0.38167245979999997</v>
      </c>
      <c r="P282">
        <v>809882</v>
      </c>
      <c r="Q282" s="9">
        <v>0.48526991229999999</v>
      </c>
      <c r="R282">
        <f>Telengana_Results_2024[[#This Row],[BJP votes]]-Telengana_Results_2024[[#This Row],[Max Votes Other Than BJP]]</f>
        <v>172897</v>
      </c>
      <c r="S282" s="10">
        <f>Telengana_Results_2024[[#This Row],[BJP vote share]]-Telengana_Results_2024[[#This Row],[Max Vote share other than bjp ]]</f>
        <v>0.10359745250000002</v>
      </c>
      <c r="T282">
        <v>2939057</v>
      </c>
      <c r="U282" s="8">
        <v>0.57029312463000004</v>
      </c>
      <c r="V282" s="1" t="s">
        <v>26</v>
      </c>
    </row>
    <row r="283" spans="1:22" x14ac:dyDescent="0.35">
      <c r="A283">
        <v>2024</v>
      </c>
      <c r="B283" s="1" t="s">
        <v>19</v>
      </c>
      <c r="C283" s="1" t="s">
        <v>1126</v>
      </c>
      <c r="D283" s="1" t="s">
        <v>1128</v>
      </c>
      <c r="E283" s="1" t="s">
        <v>21</v>
      </c>
      <c r="F283" s="1" t="s">
        <v>115</v>
      </c>
      <c r="G283" s="1" t="s">
        <v>112</v>
      </c>
      <c r="H283" s="1" t="s">
        <v>29</v>
      </c>
      <c r="I283" s="1" t="s">
        <v>30</v>
      </c>
      <c r="J283">
        <v>1676124</v>
      </c>
      <c r="K283">
        <v>1668931</v>
      </c>
      <c r="L283">
        <v>636985</v>
      </c>
      <c r="M283" s="9">
        <v>0.38167245979999997</v>
      </c>
      <c r="N283">
        <v>636985</v>
      </c>
      <c r="O283" s="9">
        <v>0.38167245979999997</v>
      </c>
      <c r="P283">
        <v>809882</v>
      </c>
      <c r="Q283" s="9">
        <v>0.48526991229999999</v>
      </c>
      <c r="R283">
        <f>Telengana_Results_2024[[#This Row],[BJP votes]]-Telengana_Results_2024[[#This Row],[Max Votes Other Than BJP]]</f>
        <v>172897</v>
      </c>
      <c r="S283" s="10">
        <f>Telengana_Results_2024[[#This Row],[BJP vote share]]-Telengana_Results_2024[[#This Row],[Max Vote share other than bjp ]]</f>
        <v>0.10359745250000002</v>
      </c>
      <c r="T283">
        <v>2939057</v>
      </c>
      <c r="U283" s="8">
        <v>0.57029312463000004</v>
      </c>
      <c r="V283" s="1" t="s">
        <v>26</v>
      </c>
    </row>
    <row r="284" spans="1:22" x14ac:dyDescent="0.35">
      <c r="A284">
        <v>2024</v>
      </c>
      <c r="B284" s="1" t="s">
        <v>19</v>
      </c>
      <c r="C284" s="1" t="s">
        <v>1126</v>
      </c>
      <c r="D284" s="1" t="s">
        <v>1129</v>
      </c>
      <c r="E284" s="1" t="s">
        <v>21</v>
      </c>
      <c r="F284" s="1" t="s">
        <v>618</v>
      </c>
      <c r="G284" s="1" t="s">
        <v>112</v>
      </c>
      <c r="H284" s="1" t="s">
        <v>785</v>
      </c>
      <c r="I284" s="1" t="s">
        <v>25</v>
      </c>
      <c r="J284">
        <v>1676124</v>
      </c>
      <c r="K284">
        <v>1668931</v>
      </c>
      <c r="L284">
        <v>178968</v>
      </c>
      <c r="M284" s="9">
        <v>0.10723511038</v>
      </c>
      <c r="N284">
        <v>636985</v>
      </c>
      <c r="O284" s="9">
        <v>0.38167245979999997</v>
      </c>
      <c r="P284">
        <v>809882</v>
      </c>
      <c r="Q284" s="9">
        <v>0.48526991229999999</v>
      </c>
      <c r="R284">
        <f>Telengana_Results_2024[[#This Row],[BJP votes]]-Telengana_Results_2024[[#This Row],[Max Votes Other Than BJP]]</f>
        <v>172897</v>
      </c>
      <c r="S284" s="10">
        <f>Telengana_Results_2024[[#This Row],[BJP vote share]]-Telengana_Results_2024[[#This Row],[Max Vote share other than bjp ]]</f>
        <v>0.10359745250000002</v>
      </c>
      <c r="T284">
        <v>2939057</v>
      </c>
      <c r="U284" s="8">
        <v>0.57029312463000004</v>
      </c>
      <c r="V284" s="1" t="s">
        <v>26</v>
      </c>
    </row>
    <row r="285" spans="1:22" x14ac:dyDescent="0.35">
      <c r="A285">
        <v>2024</v>
      </c>
      <c r="B285" s="1" t="s">
        <v>19</v>
      </c>
      <c r="C285" s="1" t="s">
        <v>1126</v>
      </c>
      <c r="D285" s="1" t="s">
        <v>64</v>
      </c>
      <c r="E285" s="1" t="s">
        <v>64</v>
      </c>
      <c r="F285" s="1" t="s">
        <v>64</v>
      </c>
      <c r="G285" s="1" t="s">
        <v>64</v>
      </c>
      <c r="H285" s="1" t="s">
        <v>64</v>
      </c>
      <c r="I285" s="1" t="s">
        <v>64</v>
      </c>
      <c r="J285">
        <v>1676124</v>
      </c>
      <c r="K285">
        <v>1668931</v>
      </c>
      <c r="L285">
        <v>6423</v>
      </c>
      <c r="M285" s="9">
        <v>3.8485713309999998E-3</v>
      </c>
      <c r="N285">
        <v>636985</v>
      </c>
      <c r="O285" s="9">
        <v>0.38167245979999997</v>
      </c>
      <c r="P285">
        <v>809882</v>
      </c>
      <c r="Q285" s="9">
        <v>0.48526991229999999</v>
      </c>
      <c r="R285">
        <f>Telengana_Results_2024[[#This Row],[BJP votes]]-Telengana_Results_2024[[#This Row],[Max Votes Other Than BJP]]</f>
        <v>172897</v>
      </c>
      <c r="S285" s="10">
        <f>Telengana_Results_2024[[#This Row],[BJP vote share]]-Telengana_Results_2024[[#This Row],[Max Vote share other than bjp ]]</f>
        <v>0.10359745250000002</v>
      </c>
      <c r="T285">
        <v>2939057</v>
      </c>
      <c r="U285" s="8">
        <v>0.57029312463000004</v>
      </c>
      <c r="V285" s="1" t="s">
        <v>26</v>
      </c>
    </row>
    <row r="286" spans="1:22" x14ac:dyDescent="0.35">
      <c r="A286">
        <v>2024</v>
      </c>
      <c r="B286" s="1" t="s">
        <v>19</v>
      </c>
      <c r="C286" s="1" t="s">
        <v>1126</v>
      </c>
      <c r="D286" s="1" t="s">
        <v>1130</v>
      </c>
      <c r="E286" s="1" t="s">
        <v>21</v>
      </c>
      <c r="F286" s="1" t="s">
        <v>80</v>
      </c>
      <c r="G286" s="1" t="s">
        <v>67</v>
      </c>
      <c r="H286" s="1" t="s">
        <v>921</v>
      </c>
      <c r="I286" s="1" t="s">
        <v>796</v>
      </c>
      <c r="J286">
        <v>1676124</v>
      </c>
      <c r="K286">
        <v>1668931</v>
      </c>
      <c r="L286">
        <v>4284</v>
      </c>
      <c r="M286" s="9">
        <v>2.5669125926000001E-3</v>
      </c>
      <c r="N286">
        <v>636985</v>
      </c>
      <c r="O286" s="9">
        <v>0.38167245979999997</v>
      </c>
      <c r="P286">
        <v>809882</v>
      </c>
      <c r="Q286" s="9">
        <v>0.48526991229999999</v>
      </c>
      <c r="R286">
        <f>Telengana_Results_2024[[#This Row],[BJP votes]]-Telengana_Results_2024[[#This Row],[Max Votes Other Than BJP]]</f>
        <v>172897</v>
      </c>
      <c r="S286" s="10">
        <f>Telengana_Results_2024[[#This Row],[BJP vote share]]-Telengana_Results_2024[[#This Row],[Max Vote share other than bjp ]]</f>
        <v>0.10359745250000002</v>
      </c>
      <c r="T286">
        <v>2939057</v>
      </c>
      <c r="U286" s="8">
        <v>0.57029312463000004</v>
      </c>
      <c r="V286" s="1" t="s">
        <v>26</v>
      </c>
    </row>
    <row r="287" spans="1:22" x14ac:dyDescent="0.35">
      <c r="A287">
        <v>2024</v>
      </c>
      <c r="B287" s="1" t="s">
        <v>19</v>
      </c>
      <c r="C287" s="1" t="s">
        <v>1126</v>
      </c>
      <c r="D287" s="1" t="s">
        <v>1131</v>
      </c>
      <c r="E287" s="1" t="s">
        <v>21</v>
      </c>
      <c r="F287" s="1" t="s">
        <v>125</v>
      </c>
      <c r="G287" s="1" t="s">
        <v>112</v>
      </c>
      <c r="H287" s="1" t="s">
        <v>613</v>
      </c>
      <c r="I287" s="1" t="s">
        <v>614</v>
      </c>
      <c r="J287">
        <v>1676124</v>
      </c>
      <c r="K287">
        <v>1668931</v>
      </c>
      <c r="L287">
        <v>3748</v>
      </c>
      <c r="M287" s="9">
        <v>2.2457489255000001E-3</v>
      </c>
      <c r="N287">
        <v>636985</v>
      </c>
      <c r="O287" s="9">
        <v>0.38167245979999997</v>
      </c>
      <c r="P287">
        <v>809882</v>
      </c>
      <c r="Q287" s="9">
        <v>0.48526991229999999</v>
      </c>
      <c r="R287">
        <f>Telengana_Results_2024[[#This Row],[BJP votes]]-Telengana_Results_2024[[#This Row],[Max Votes Other Than BJP]]</f>
        <v>172897</v>
      </c>
      <c r="S287" s="10">
        <f>Telengana_Results_2024[[#This Row],[BJP vote share]]-Telengana_Results_2024[[#This Row],[Max Vote share other than bjp ]]</f>
        <v>0.10359745250000002</v>
      </c>
      <c r="T287">
        <v>2939057</v>
      </c>
      <c r="U287" s="8">
        <v>0.57029312463000004</v>
      </c>
      <c r="V287" s="1" t="s">
        <v>26</v>
      </c>
    </row>
    <row r="288" spans="1:22" x14ac:dyDescent="0.35">
      <c r="A288">
        <v>2024</v>
      </c>
      <c r="B288" s="1" t="s">
        <v>19</v>
      </c>
      <c r="C288" s="1" t="s">
        <v>1126</v>
      </c>
      <c r="D288" s="1" t="s">
        <v>1132</v>
      </c>
      <c r="E288" s="1" t="s">
        <v>35</v>
      </c>
      <c r="F288" s="1" t="s">
        <v>62</v>
      </c>
      <c r="G288" s="1" t="s">
        <v>112</v>
      </c>
      <c r="H288" s="1" t="s">
        <v>787</v>
      </c>
      <c r="I288" s="1" t="s">
        <v>788</v>
      </c>
      <c r="J288">
        <v>1676124</v>
      </c>
      <c r="K288">
        <v>1668931</v>
      </c>
      <c r="L288">
        <v>2688</v>
      </c>
      <c r="M288" s="9">
        <v>1.6106118228000001E-3</v>
      </c>
      <c r="N288">
        <v>636985</v>
      </c>
      <c r="O288" s="9">
        <v>0.38167245979999997</v>
      </c>
      <c r="P288">
        <v>809882</v>
      </c>
      <c r="Q288" s="9">
        <v>0.48526991229999999</v>
      </c>
      <c r="R288">
        <f>Telengana_Results_2024[[#This Row],[BJP votes]]-Telengana_Results_2024[[#This Row],[Max Votes Other Than BJP]]</f>
        <v>172897</v>
      </c>
      <c r="S288" s="10">
        <f>Telengana_Results_2024[[#This Row],[BJP vote share]]-Telengana_Results_2024[[#This Row],[Max Vote share other than bjp ]]</f>
        <v>0.10359745250000002</v>
      </c>
      <c r="T288">
        <v>2939057</v>
      </c>
      <c r="U288" s="8">
        <v>0.57029312463000004</v>
      </c>
      <c r="V288" s="1" t="s">
        <v>26</v>
      </c>
    </row>
    <row r="289" spans="1:22" x14ac:dyDescent="0.35">
      <c r="A289">
        <v>2024</v>
      </c>
      <c r="B289" s="1" t="s">
        <v>19</v>
      </c>
      <c r="C289" s="1" t="s">
        <v>1126</v>
      </c>
      <c r="D289" s="1" t="s">
        <v>1133</v>
      </c>
      <c r="E289" s="1" t="s">
        <v>21</v>
      </c>
      <c r="F289" s="1" t="s">
        <v>28</v>
      </c>
      <c r="G289" s="1" t="s">
        <v>112</v>
      </c>
      <c r="H289" s="1" t="s">
        <v>1134</v>
      </c>
      <c r="I289" s="1" t="s">
        <v>818</v>
      </c>
      <c r="J289">
        <v>1676124</v>
      </c>
      <c r="K289">
        <v>1668931</v>
      </c>
      <c r="L289">
        <v>2373</v>
      </c>
      <c r="M289" s="9">
        <v>1.4218682498000001E-3</v>
      </c>
      <c r="N289">
        <v>636985</v>
      </c>
      <c r="O289" s="9">
        <v>0.38167245979999997</v>
      </c>
      <c r="P289">
        <v>809882</v>
      </c>
      <c r="Q289" s="9">
        <v>0.48526991229999999</v>
      </c>
      <c r="R289">
        <f>Telengana_Results_2024[[#This Row],[BJP votes]]-Telengana_Results_2024[[#This Row],[Max Votes Other Than BJP]]</f>
        <v>172897</v>
      </c>
      <c r="S289" s="10">
        <f>Telengana_Results_2024[[#This Row],[BJP vote share]]-Telengana_Results_2024[[#This Row],[Max Vote share other than bjp ]]</f>
        <v>0.10359745250000002</v>
      </c>
      <c r="T289">
        <v>2939057</v>
      </c>
      <c r="U289" s="8">
        <v>0.57029312463000004</v>
      </c>
      <c r="V289" s="1" t="s">
        <v>26</v>
      </c>
    </row>
    <row r="290" spans="1:22" x14ac:dyDescent="0.35">
      <c r="A290">
        <v>2024</v>
      </c>
      <c r="B290" s="1" t="s">
        <v>19</v>
      </c>
      <c r="C290" s="1" t="s">
        <v>1126</v>
      </c>
      <c r="D290" s="1" t="s">
        <v>1135</v>
      </c>
      <c r="E290" s="1" t="s">
        <v>35</v>
      </c>
      <c r="F290" s="1" t="s">
        <v>56</v>
      </c>
      <c r="G290" s="1" t="s">
        <v>112</v>
      </c>
      <c r="H290" s="1" t="s">
        <v>53</v>
      </c>
      <c r="I290" s="1" t="s">
        <v>820</v>
      </c>
      <c r="J290">
        <v>1676124</v>
      </c>
      <c r="K290">
        <v>1668931</v>
      </c>
      <c r="L290">
        <v>1938</v>
      </c>
      <c r="M290" s="9">
        <v>1.1612223633000001E-3</v>
      </c>
      <c r="N290">
        <v>636985</v>
      </c>
      <c r="O290" s="9">
        <v>0.38167245979999997</v>
      </c>
      <c r="P290">
        <v>809882</v>
      </c>
      <c r="Q290" s="9">
        <v>0.48526991229999999</v>
      </c>
      <c r="R290">
        <f>Telengana_Results_2024[[#This Row],[BJP votes]]-Telengana_Results_2024[[#This Row],[Max Votes Other Than BJP]]</f>
        <v>172897</v>
      </c>
      <c r="S290" s="10">
        <f>Telengana_Results_2024[[#This Row],[BJP vote share]]-Telengana_Results_2024[[#This Row],[Max Vote share other than bjp ]]</f>
        <v>0.10359745250000002</v>
      </c>
      <c r="T290">
        <v>2939057</v>
      </c>
      <c r="U290" s="8">
        <v>0.57029312463000004</v>
      </c>
      <c r="V290" s="1" t="s">
        <v>26</v>
      </c>
    </row>
    <row r="291" spans="1:22" x14ac:dyDescent="0.35">
      <c r="A291">
        <v>2024</v>
      </c>
      <c r="B291" s="1" t="s">
        <v>19</v>
      </c>
      <c r="C291" s="1" t="s">
        <v>1126</v>
      </c>
      <c r="D291" s="1" t="s">
        <v>1136</v>
      </c>
      <c r="E291" s="1" t="s">
        <v>21</v>
      </c>
      <c r="F291" s="1" t="s">
        <v>165</v>
      </c>
      <c r="G291" s="1" t="s">
        <v>112</v>
      </c>
      <c r="H291" s="1" t="s">
        <v>1137</v>
      </c>
      <c r="I291" s="1" t="s">
        <v>1138</v>
      </c>
      <c r="J291">
        <v>1676124</v>
      </c>
      <c r="K291">
        <v>1668931</v>
      </c>
      <c r="L291">
        <v>1698</v>
      </c>
      <c r="M291" s="9">
        <v>1.0174177363E-3</v>
      </c>
      <c r="N291">
        <v>636985</v>
      </c>
      <c r="O291" s="9">
        <v>0.38167245979999997</v>
      </c>
      <c r="P291">
        <v>809882</v>
      </c>
      <c r="Q291" s="9">
        <v>0.48526991229999999</v>
      </c>
      <c r="R291">
        <f>Telengana_Results_2024[[#This Row],[BJP votes]]-Telengana_Results_2024[[#This Row],[Max Votes Other Than BJP]]</f>
        <v>172897</v>
      </c>
      <c r="S291" s="10">
        <f>Telengana_Results_2024[[#This Row],[BJP vote share]]-Telengana_Results_2024[[#This Row],[Max Vote share other than bjp ]]</f>
        <v>0.10359745250000002</v>
      </c>
      <c r="T291">
        <v>2939057</v>
      </c>
      <c r="U291" s="8">
        <v>0.57029312463000004</v>
      </c>
      <c r="V291" s="1" t="s">
        <v>26</v>
      </c>
    </row>
    <row r="292" spans="1:22" x14ac:dyDescent="0.35">
      <c r="A292">
        <v>2024</v>
      </c>
      <c r="B292" s="1" t="s">
        <v>19</v>
      </c>
      <c r="C292" s="1" t="s">
        <v>1126</v>
      </c>
      <c r="D292" s="1" t="s">
        <v>1139</v>
      </c>
      <c r="E292" s="1" t="s">
        <v>21</v>
      </c>
      <c r="F292" s="1" t="s">
        <v>99</v>
      </c>
      <c r="G292" s="1" t="s">
        <v>112</v>
      </c>
      <c r="H292" s="1" t="s">
        <v>798</v>
      </c>
      <c r="I292" s="1" t="s">
        <v>749</v>
      </c>
      <c r="J292">
        <v>1676124</v>
      </c>
      <c r="K292">
        <v>1668931</v>
      </c>
      <c r="L292">
        <v>1648</v>
      </c>
      <c r="M292" s="9">
        <v>9.8745843895999994E-4</v>
      </c>
      <c r="N292">
        <v>636985</v>
      </c>
      <c r="O292" s="9">
        <v>0.38167245979999997</v>
      </c>
      <c r="P292">
        <v>809882</v>
      </c>
      <c r="Q292" s="9">
        <v>0.48526991229999999</v>
      </c>
      <c r="R292">
        <f>Telengana_Results_2024[[#This Row],[BJP votes]]-Telengana_Results_2024[[#This Row],[Max Votes Other Than BJP]]</f>
        <v>172897</v>
      </c>
      <c r="S292" s="10">
        <f>Telengana_Results_2024[[#This Row],[BJP vote share]]-Telengana_Results_2024[[#This Row],[Max Vote share other than bjp ]]</f>
        <v>0.10359745250000002</v>
      </c>
      <c r="T292">
        <v>2939057</v>
      </c>
      <c r="U292" s="8">
        <v>0.57029312463000004</v>
      </c>
      <c r="V292" s="1" t="s">
        <v>26</v>
      </c>
    </row>
    <row r="293" spans="1:22" x14ac:dyDescent="0.35">
      <c r="A293">
        <v>2024</v>
      </c>
      <c r="B293" s="1" t="s">
        <v>19</v>
      </c>
      <c r="C293" s="1" t="s">
        <v>1126</v>
      </c>
      <c r="D293" s="1" t="s">
        <v>1140</v>
      </c>
      <c r="E293" s="1" t="s">
        <v>21</v>
      </c>
      <c r="F293" s="1" t="s">
        <v>120</v>
      </c>
      <c r="G293" s="1" t="s">
        <v>112</v>
      </c>
      <c r="H293" s="1" t="s">
        <v>1141</v>
      </c>
      <c r="I293" s="1" t="s">
        <v>54</v>
      </c>
      <c r="J293">
        <v>1676124</v>
      </c>
      <c r="K293">
        <v>1668931</v>
      </c>
      <c r="L293">
        <v>1647</v>
      </c>
      <c r="M293" s="9">
        <v>9.8685925302E-4</v>
      </c>
      <c r="N293">
        <v>636985</v>
      </c>
      <c r="O293" s="9">
        <v>0.38167245979999997</v>
      </c>
      <c r="P293">
        <v>809882</v>
      </c>
      <c r="Q293" s="9">
        <v>0.48526991229999999</v>
      </c>
      <c r="R293">
        <f>Telengana_Results_2024[[#This Row],[BJP votes]]-Telengana_Results_2024[[#This Row],[Max Votes Other Than BJP]]</f>
        <v>172897</v>
      </c>
      <c r="S293" s="10">
        <f>Telengana_Results_2024[[#This Row],[BJP vote share]]-Telengana_Results_2024[[#This Row],[Max Vote share other than bjp ]]</f>
        <v>0.10359745250000002</v>
      </c>
      <c r="T293">
        <v>2939057</v>
      </c>
      <c r="U293" s="8">
        <v>0.57029312463000004</v>
      </c>
      <c r="V293" s="1" t="s">
        <v>26</v>
      </c>
    </row>
    <row r="294" spans="1:22" x14ac:dyDescent="0.35">
      <c r="A294">
        <v>2024</v>
      </c>
      <c r="B294" s="1" t="s">
        <v>19</v>
      </c>
      <c r="C294" s="1" t="s">
        <v>1126</v>
      </c>
      <c r="D294" s="1" t="s">
        <v>1142</v>
      </c>
      <c r="E294" s="1" t="s">
        <v>21</v>
      </c>
      <c r="F294" s="1" t="s">
        <v>106</v>
      </c>
      <c r="G294" s="1" t="s">
        <v>67</v>
      </c>
      <c r="H294" s="1" t="s">
        <v>53</v>
      </c>
      <c r="I294" s="1" t="s">
        <v>163</v>
      </c>
      <c r="J294">
        <v>1676124</v>
      </c>
      <c r="K294">
        <v>1668931</v>
      </c>
      <c r="L294">
        <v>1517</v>
      </c>
      <c r="M294" s="9">
        <v>9.0896508003999999E-4</v>
      </c>
      <c r="N294">
        <v>636985</v>
      </c>
      <c r="O294" s="9">
        <v>0.38167245979999997</v>
      </c>
      <c r="P294">
        <v>809882</v>
      </c>
      <c r="Q294" s="9">
        <v>0.48526991229999999</v>
      </c>
      <c r="R294">
        <f>Telengana_Results_2024[[#This Row],[BJP votes]]-Telengana_Results_2024[[#This Row],[Max Votes Other Than BJP]]</f>
        <v>172897</v>
      </c>
      <c r="S294" s="10">
        <f>Telengana_Results_2024[[#This Row],[BJP vote share]]-Telengana_Results_2024[[#This Row],[Max Vote share other than bjp ]]</f>
        <v>0.10359745250000002</v>
      </c>
      <c r="T294">
        <v>2939057</v>
      </c>
      <c r="U294" s="8">
        <v>0.57029312463000004</v>
      </c>
      <c r="V294" s="1" t="s">
        <v>26</v>
      </c>
    </row>
    <row r="295" spans="1:22" x14ac:dyDescent="0.35">
      <c r="A295">
        <v>2024</v>
      </c>
      <c r="B295" s="1" t="s">
        <v>19</v>
      </c>
      <c r="C295" s="1" t="s">
        <v>1126</v>
      </c>
      <c r="D295" s="1" t="s">
        <v>1143</v>
      </c>
      <c r="E295" s="1" t="s">
        <v>21</v>
      </c>
      <c r="F295" s="1" t="s">
        <v>80</v>
      </c>
      <c r="G295" s="1" t="s">
        <v>112</v>
      </c>
      <c r="H295" s="1" t="s">
        <v>53</v>
      </c>
      <c r="I295" s="1" t="s">
        <v>791</v>
      </c>
      <c r="J295">
        <v>1676124</v>
      </c>
      <c r="K295">
        <v>1668931</v>
      </c>
      <c r="L295">
        <v>1510</v>
      </c>
      <c r="M295" s="9">
        <v>9.0477077841999995E-4</v>
      </c>
      <c r="N295">
        <v>636985</v>
      </c>
      <c r="O295" s="9">
        <v>0.38167245979999997</v>
      </c>
      <c r="P295">
        <v>809882</v>
      </c>
      <c r="Q295" s="9">
        <v>0.48526991229999999</v>
      </c>
      <c r="R295">
        <f>Telengana_Results_2024[[#This Row],[BJP votes]]-Telengana_Results_2024[[#This Row],[Max Votes Other Than BJP]]</f>
        <v>172897</v>
      </c>
      <c r="S295" s="10">
        <f>Telengana_Results_2024[[#This Row],[BJP vote share]]-Telengana_Results_2024[[#This Row],[Max Vote share other than bjp ]]</f>
        <v>0.10359745250000002</v>
      </c>
      <c r="T295">
        <v>2939057</v>
      </c>
      <c r="U295" s="8">
        <v>0.57029312463000004</v>
      </c>
      <c r="V295" s="1" t="s">
        <v>26</v>
      </c>
    </row>
    <row r="296" spans="1:22" x14ac:dyDescent="0.35">
      <c r="A296">
        <v>2024</v>
      </c>
      <c r="B296" s="1" t="s">
        <v>19</v>
      </c>
      <c r="C296" s="1" t="s">
        <v>1126</v>
      </c>
      <c r="D296" s="1" t="s">
        <v>1144</v>
      </c>
      <c r="E296" s="1" t="s">
        <v>21</v>
      </c>
      <c r="F296" s="1" t="s">
        <v>559</v>
      </c>
      <c r="G296" s="1" t="s">
        <v>112</v>
      </c>
      <c r="H296" s="1" t="s">
        <v>860</v>
      </c>
      <c r="I296" s="1" t="s">
        <v>60</v>
      </c>
      <c r="J296">
        <v>1676124</v>
      </c>
      <c r="K296">
        <v>1668931</v>
      </c>
      <c r="L296">
        <v>1495</v>
      </c>
      <c r="M296" s="9">
        <v>8.9578298923000002E-4</v>
      </c>
      <c r="N296">
        <v>636985</v>
      </c>
      <c r="O296" s="9">
        <v>0.38167245979999997</v>
      </c>
      <c r="P296">
        <v>809882</v>
      </c>
      <c r="Q296" s="9">
        <v>0.48526991229999999</v>
      </c>
      <c r="R296">
        <f>Telengana_Results_2024[[#This Row],[BJP votes]]-Telengana_Results_2024[[#This Row],[Max Votes Other Than BJP]]</f>
        <v>172897</v>
      </c>
      <c r="S296" s="10">
        <f>Telengana_Results_2024[[#This Row],[BJP vote share]]-Telengana_Results_2024[[#This Row],[Max Vote share other than bjp ]]</f>
        <v>0.10359745250000002</v>
      </c>
      <c r="T296">
        <v>2939057</v>
      </c>
      <c r="U296" s="8">
        <v>0.57029312463000004</v>
      </c>
      <c r="V296" s="1" t="s">
        <v>26</v>
      </c>
    </row>
    <row r="297" spans="1:22" x14ac:dyDescent="0.35">
      <c r="A297">
        <v>2024</v>
      </c>
      <c r="B297" s="1" t="s">
        <v>19</v>
      </c>
      <c r="C297" s="1" t="s">
        <v>1126</v>
      </c>
      <c r="D297" s="1" t="s">
        <v>1145</v>
      </c>
      <c r="E297" s="1" t="s">
        <v>21</v>
      </c>
      <c r="F297" s="1" t="s">
        <v>176</v>
      </c>
      <c r="G297" s="1" t="s">
        <v>112</v>
      </c>
      <c r="H297" s="1" t="s">
        <v>536</v>
      </c>
      <c r="I297" s="1" t="s">
        <v>823</v>
      </c>
      <c r="J297">
        <v>1676124</v>
      </c>
      <c r="K297">
        <v>1668931</v>
      </c>
      <c r="L297">
        <v>1426</v>
      </c>
      <c r="M297" s="9">
        <v>8.5443915896000003E-4</v>
      </c>
      <c r="N297">
        <v>636985</v>
      </c>
      <c r="O297" s="9">
        <v>0.38167245979999997</v>
      </c>
      <c r="P297">
        <v>809882</v>
      </c>
      <c r="Q297" s="9">
        <v>0.48526991229999999</v>
      </c>
      <c r="R297">
        <f>Telengana_Results_2024[[#This Row],[BJP votes]]-Telengana_Results_2024[[#This Row],[Max Votes Other Than BJP]]</f>
        <v>172897</v>
      </c>
      <c r="S297" s="10">
        <f>Telengana_Results_2024[[#This Row],[BJP vote share]]-Telengana_Results_2024[[#This Row],[Max Vote share other than bjp ]]</f>
        <v>0.10359745250000002</v>
      </c>
      <c r="T297">
        <v>2939057</v>
      </c>
      <c r="U297" s="8">
        <v>0.57029312463000004</v>
      </c>
      <c r="V297" s="1" t="s">
        <v>26</v>
      </c>
    </row>
    <row r="298" spans="1:22" x14ac:dyDescent="0.35">
      <c r="A298">
        <v>2024</v>
      </c>
      <c r="B298" s="1" t="s">
        <v>19</v>
      </c>
      <c r="C298" s="1" t="s">
        <v>1126</v>
      </c>
      <c r="D298" s="1" t="s">
        <v>1146</v>
      </c>
      <c r="E298" s="1" t="s">
        <v>21</v>
      </c>
      <c r="F298" s="1" t="s">
        <v>200</v>
      </c>
      <c r="G298" s="1" t="s">
        <v>112</v>
      </c>
      <c r="H298" s="1" t="s">
        <v>122</v>
      </c>
      <c r="I298" s="1" t="s">
        <v>948</v>
      </c>
      <c r="J298">
        <v>1676124</v>
      </c>
      <c r="K298">
        <v>1668931</v>
      </c>
      <c r="L298">
        <v>1386</v>
      </c>
      <c r="M298" s="9">
        <v>8.3047172112000003E-4</v>
      </c>
      <c r="N298">
        <v>636985</v>
      </c>
      <c r="O298" s="9">
        <v>0.38167245979999997</v>
      </c>
      <c r="P298">
        <v>809882</v>
      </c>
      <c r="Q298" s="9">
        <v>0.48526991229999999</v>
      </c>
      <c r="R298">
        <f>Telengana_Results_2024[[#This Row],[BJP votes]]-Telengana_Results_2024[[#This Row],[Max Votes Other Than BJP]]</f>
        <v>172897</v>
      </c>
      <c r="S298" s="10">
        <f>Telengana_Results_2024[[#This Row],[BJP vote share]]-Telengana_Results_2024[[#This Row],[Max Vote share other than bjp ]]</f>
        <v>0.10359745250000002</v>
      </c>
      <c r="T298">
        <v>2939057</v>
      </c>
      <c r="U298" s="8">
        <v>0.57029312463000004</v>
      </c>
      <c r="V298" s="1" t="s">
        <v>26</v>
      </c>
    </row>
    <row r="299" spans="1:22" x14ac:dyDescent="0.35">
      <c r="A299">
        <v>2024</v>
      </c>
      <c r="B299" s="1" t="s">
        <v>19</v>
      </c>
      <c r="C299" s="1" t="s">
        <v>1126</v>
      </c>
      <c r="D299" s="1" t="s">
        <v>1147</v>
      </c>
      <c r="E299" s="1" t="s">
        <v>21</v>
      </c>
      <c r="F299" s="1" t="s">
        <v>59</v>
      </c>
      <c r="G299" s="1" t="s">
        <v>112</v>
      </c>
      <c r="H299" s="1" t="s">
        <v>53</v>
      </c>
      <c r="I299" s="1" t="s">
        <v>129</v>
      </c>
      <c r="J299">
        <v>1676124</v>
      </c>
      <c r="K299">
        <v>1668931</v>
      </c>
      <c r="L299">
        <v>1240</v>
      </c>
      <c r="M299" s="9">
        <v>7.4299057301000003E-4</v>
      </c>
      <c r="N299">
        <v>636985</v>
      </c>
      <c r="O299" s="9">
        <v>0.38167245979999997</v>
      </c>
      <c r="P299">
        <v>809882</v>
      </c>
      <c r="Q299" s="9">
        <v>0.48526991229999999</v>
      </c>
      <c r="R299">
        <f>Telengana_Results_2024[[#This Row],[BJP votes]]-Telengana_Results_2024[[#This Row],[Max Votes Other Than BJP]]</f>
        <v>172897</v>
      </c>
      <c r="S299" s="10">
        <f>Telengana_Results_2024[[#This Row],[BJP vote share]]-Telengana_Results_2024[[#This Row],[Max Vote share other than bjp ]]</f>
        <v>0.10359745250000002</v>
      </c>
      <c r="T299">
        <v>2939057</v>
      </c>
      <c r="U299" s="8">
        <v>0.57029312463000004</v>
      </c>
      <c r="V299" s="1" t="s">
        <v>26</v>
      </c>
    </row>
    <row r="300" spans="1:22" x14ac:dyDescent="0.35">
      <c r="A300">
        <v>2024</v>
      </c>
      <c r="B300" s="1" t="s">
        <v>19</v>
      </c>
      <c r="C300" s="1" t="s">
        <v>1126</v>
      </c>
      <c r="D300" s="1" t="s">
        <v>1148</v>
      </c>
      <c r="E300" s="1" t="s">
        <v>21</v>
      </c>
      <c r="F300" s="1" t="s">
        <v>59</v>
      </c>
      <c r="G300" s="1" t="s">
        <v>67</v>
      </c>
      <c r="H300" s="1" t="s">
        <v>53</v>
      </c>
      <c r="I300" s="1" t="s">
        <v>434</v>
      </c>
      <c r="J300">
        <v>1676124</v>
      </c>
      <c r="K300">
        <v>1668931</v>
      </c>
      <c r="L300">
        <v>1155</v>
      </c>
      <c r="M300" s="9">
        <v>6.9205976760000002E-4</v>
      </c>
      <c r="N300">
        <v>636985</v>
      </c>
      <c r="O300" s="9">
        <v>0.38167245979999997</v>
      </c>
      <c r="P300">
        <v>809882</v>
      </c>
      <c r="Q300" s="9">
        <v>0.48526991229999999</v>
      </c>
      <c r="R300">
        <f>Telengana_Results_2024[[#This Row],[BJP votes]]-Telengana_Results_2024[[#This Row],[Max Votes Other Than BJP]]</f>
        <v>172897</v>
      </c>
      <c r="S300" s="10">
        <f>Telengana_Results_2024[[#This Row],[BJP vote share]]-Telengana_Results_2024[[#This Row],[Max Vote share other than bjp ]]</f>
        <v>0.10359745250000002</v>
      </c>
      <c r="T300">
        <v>2939057</v>
      </c>
      <c r="U300" s="8">
        <v>0.57029312463000004</v>
      </c>
      <c r="V300" s="1" t="s">
        <v>26</v>
      </c>
    </row>
    <row r="301" spans="1:22" x14ac:dyDescent="0.35">
      <c r="A301">
        <v>2024</v>
      </c>
      <c r="B301" s="1" t="s">
        <v>19</v>
      </c>
      <c r="C301" s="1" t="s">
        <v>1126</v>
      </c>
      <c r="D301" s="1" t="s">
        <v>1149</v>
      </c>
      <c r="E301" s="1" t="s">
        <v>21</v>
      </c>
      <c r="F301" s="1" t="s">
        <v>44</v>
      </c>
      <c r="G301" s="1" t="s">
        <v>67</v>
      </c>
      <c r="H301" s="1" t="s">
        <v>961</v>
      </c>
      <c r="I301" s="1" t="s">
        <v>184</v>
      </c>
      <c r="J301">
        <v>1676124</v>
      </c>
      <c r="K301">
        <v>1668931</v>
      </c>
      <c r="L301">
        <v>1139</v>
      </c>
      <c r="M301" s="9">
        <v>6.8247279246000001E-4</v>
      </c>
      <c r="N301">
        <v>636985</v>
      </c>
      <c r="O301" s="9">
        <v>0.38167245979999997</v>
      </c>
      <c r="P301">
        <v>809882</v>
      </c>
      <c r="Q301" s="9">
        <v>0.48526991229999999</v>
      </c>
      <c r="R301">
        <f>Telengana_Results_2024[[#This Row],[BJP votes]]-Telengana_Results_2024[[#This Row],[Max Votes Other Than BJP]]</f>
        <v>172897</v>
      </c>
      <c r="S301" s="10">
        <f>Telengana_Results_2024[[#This Row],[BJP vote share]]-Telengana_Results_2024[[#This Row],[Max Vote share other than bjp ]]</f>
        <v>0.10359745250000002</v>
      </c>
      <c r="T301">
        <v>2939057</v>
      </c>
      <c r="U301" s="8">
        <v>0.57029312463000004</v>
      </c>
      <c r="V301" s="1" t="s">
        <v>26</v>
      </c>
    </row>
    <row r="302" spans="1:22" x14ac:dyDescent="0.35">
      <c r="A302">
        <v>2024</v>
      </c>
      <c r="B302" s="1" t="s">
        <v>19</v>
      </c>
      <c r="C302" s="1" t="s">
        <v>1126</v>
      </c>
      <c r="D302" s="1" t="s">
        <v>1150</v>
      </c>
      <c r="E302" s="1" t="s">
        <v>21</v>
      </c>
      <c r="F302" s="1" t="s">
        <v>56</v>
      </c>
      <c r="G302" s="1" t="s">
        <v>23</v>
      </c>
      <c r="H302" s="1" t="s">
        <v>53</v>
      </c>
      <c r="I302" s="1" t="s">
        <v>483</v>
      </c>
      <c r="J302">
        <v>1676124</v>
      </c>
      <c r="K302">
        <v>1668931</v>
      </c>
      <c r="L302">
        <v>1075</v>
      </c>
      <c r="M302" s="9">
        <v>6.4412489192000003E-4</v>
      </c>
      <c r="N302">
        <v>636985</v>
      </c>
      <c r="O302" s="9">
        <v>0.38167245979999997</v>
      </c>
      <c r="P302">
        <v>809882</v>
      </c>
      <c r="Q302" s="9">
        <v>0.48526991229999999</v>
      </c>
      <c r="R302">
        <f>Telengana_Results_2024[[#This Row],[BJP votes]]-Telengana_Results_2024[[#This Row],[Max Votes Other Than BJP]]</f>
        <v>172897</v>
      </c>
      <c r="S302" s="10">
        <f>Telengana_Results_2024[[#This Row],[BJP vote share]]-Telengana_Results_2024[[#This Row],[Max Vote share other than bjp ]]</f>
        <v>0.10359745250000002</v>
      </c>
      <c r="T302">
        <v>2939057</v>
      </c>
      <c r="U302" s="8">
        <v>0.57029312463000004</v>
      </c>
      <c r="V302" s="1" t="s">
        <v>26</v>
      </c>
    </row>
    <row r="303" spans="1:22" x14ac:dyDescent="0.35">
      <c r="A303">
        <v>2024</v>
      </c>
      <c r="B303" s="1" t="s">
        <v>19</v>
      </c>
      <c r="C303" s="1" t="s">
        <v>1126</v>
      </c>
      <c r="D303" s="1" t="s">
        <v>1151</v>
      </c>
      <c r="E303" s="1" t="s">
        <v>21</v>
      </c>
      <c r="F303" s="1" t="s">
        <v>75</v>
      </c>
      <c r="G303" s="1" t="s">
        <v>112</v>
      </c>
      <c r="H303" s="1" t="s">
        <v>1104</v>
      </c>
      <c r="I303" s="1" t="s">
        <v>793</v>
      </c>
      <c r="J303">
        <v>1676124</v>
      </c>
      <c r="K303">
        <v>1668931</v>
      </c>
      <c r="L303">
        <v>971</v>
      </c>
      <c r="M303" s="9">
        <v>5.8180955354000005E-4</v>
      </c>
      <c r="N303">
        <v>636985</v>
      </c>
      <c r="O303" s="9">
        <v>0.38167245979999997</v>
      </c>
      <c r="P303">
        <v>809882</v>
      </c>
      <c r="Q303" s="9">
        <v>0.48526991229999999</v>
      </c>
      <c r="R303">
        <f>Telengana_Results_2024[[#This Row],[BJP votes]]-Telengana_Results_2024[[#This Row],[Max Votes Other Than BJP]]</f>
        <v>172897</v>
      </c>
      <c r="S303" s="10">
        <f>Telengana_Results_2024[[#This Row],[BJP vote share]]-Telengana_Results_2024[[#This Row],[Max Vote share other than bjp ]]</f>
        <v>0.10359745250000002</v>
      </c>
      <c r="T303">
        <v>2939057</v>
      </c>
      <c r="U303" s="8">
        <v>0.57029312463000004</v>
      </c>
      <c r="V303" s="1" t="s">
        <v>26</v>
      </c>
    </row>
    <row r="304" spans="1:22" x14ac:dyDescent="0.35">
      <c r="A304">
        <v>2024</v>
      </c>
      <c r="B304" s="1" t="s">
        <v>19</v>
      </c>
      <c r="C304" s="1" t="s">
        <v>1126</v>
      </c>
      <c r="D304" s="1" t="s">
        <v>1152</v>
      </c>
      <c r="E304" s="1" t="s">
        <v>21</v>
      </c>
      <c r="F304" s="1" t="s">
        <v>80</v>
      </c>
      <c r="G304" s="1" t="s">
        <v>112</v>
      </c>
      <c r="H304" s="1" t="s">
        <v>53</v>
      </c>
      <c r="I304" s="1" t="s">
        <v>329</v>
      </c>
      <c r="J304">
        <v>1676124</v>
      </c>
      <c r="K304">
        <v>1668931</v>
      </c>
      <c r="L304">
        <v>752</v>
      </c>
      <c r="M304" s="9">
        <v>4.5058783136999998E-4</v>
      </c>
      <c r="N304">
        <v>636985</v>
      </c>
      <c r="O304" s="9">
        <v>0.38167245979999997</v>
      </c>
      <c r="P304">
        <v>809882</v>
      </c>
      <c r="Q304" s="9">
        <v>0.48526991229999999</v>
      </c>
      <c r="R304">
        <f>Telengana_Results_2024[[#This Row],[BJP votes]]-Telengana_Results_2024[[#This Row],[Max Votes Other Than BJP]]</f>
        <v>172897</v>
      </c>
      <c r="S304" s="10">
        <f>Telengana_Results_2024[[#This Row],[BJP vote share]]-Telengana_Results_2024[[#This Row],[Max Vote share other than bjp ]]</f>
        <v>0.10359745250000002</v>
      </c>
      <c r="T304">
        <v>2939057</v>
      </c>
      <c r="U304" s="8">
        <v>0.57029312463000004</v>
      </c>
      <c r="V304" s="1" t="s">
        <v>26</v>
      </c>
    </row>
    <row r="305" spans="1:22" x14ac:dyDescent="0.35">
      <c r="A305">
        <v>2024</v>
      </c>
      <c r="B305" s="1" t="s">
        <v>19</v>
      </c>
      <c r="C305" s="1" t="s">
        <v>1126</v>
      </c>
      <c r="D305" s="1" t="s">
        <v>1153</v>
      </c>
      <c r="E305" s="1" t="s">
        <v>21</v>
      </c>
      <c r="F305" s="1" t="s">
        <v>120</v>
      </c>
      <c r="G305" s="1" t="s">
        <v>112</v>
      </c>
      <c r="H305" s="1" t="s">
        <v>53</v>
      </c>
      <c r="I305" s="1" t="s">
        <v>339</v>
      </c>
      <c r="J305">
        <v>1676124</v>
      </c>
      <c r="K305">
        <v>1668931</v>
      </c>
      <c r="L305">
        <v>661</v>
      </c>
      <c r="M305" s="9">
        <v>3.9606191029000002E-4</v>
      </c>
      <c r="N305">
        <v>636985</v>
      </c>
      <c r="O305" s="9">
        <v>0.38167245979999997</v>
      </c>
      <c r="P305">
        <v>809882</v>
      </c>
      <c r="Q305" s="9">
        <v>0.48526991229999999</v>
      </c>
      <c r="R305">
        <f>Telengana_Results_2024[[#This Row],[BJP votes]]-Telengana_Results_2024[[#This Row],[Max Votes Other Than BJP]]</f>
        <v>172897</v>
      </c>
      <c r="S305" s="10">
        <f>Telengana_Results_2024[[#This Row],[BJP vote share]]-Telengana_Results_2024[[#This Row],[Max Vote share other than bjp ]]</f>
        <v>0.10359745250000002</v>
      </c>
      <c r="T305">
        <v>2939057</v>
      </c>
      <c r="U305" s="8">
        <v>0.57029312463000004</v>
      </c>
      <c r="V305" s="1" t="s">
        <v>26</v>
      </c>
    </row>
    <row r="306" spans="1:22" x14ac:dyDescent="0.35">
      <c r="A306">
        <v>2024</v>
      </c>
      <c r="B306" s="1" t="s">
        <v>19</v>
      </c>
      <c r="C306" s="1" t="s">
        <v>1126</v>
      </c>
      <c r="D306" s="1" t="s">
        <v>1154</v>
      </c>
      <c r="E306" s="1" t="s">
        <v>21</v>
      </c>
      <c r="F306" s="1" t="s">
        <v>28</v>
      </c>
      <c r="G306" s="1" t="s">
        <v>112</v>
      </c>
      <c r="H306" s="1" t="s">
        <v>1053</v>
      </c>
      <c r="I306" s="1" t="s">
        <v>194</v>
      </c>
      <c r="J306">
        <v>1676124</v>
      </c>
      <c r="K306">
        <v>1668931</v>
      </c>
      <c r="L306">
        <v>635</v>
      </c>
      <c r="M306" s="9">
        <v>3.8048307568999999E-4</v>
      </c>
      <c r="N306">
        <v>636985</v>
      </c>
      <c r="O306" s="9">
        <v>0.38167245979999997</v>
      </c>
      <c r="P306">
        <v>809882</v>
      </c>
      <c r="Q306" s="9">
        <v>0.48526991229999999</v>
      </c>
      <c r="R306">
        <f>Telengana_Results_2024[[#This Row],[BJP votes]]-Telengana_Results_2024[[#This Row],[Max Votes Other Than BJP]]</f>
        <v>172897</v>
      </c>
      <c r="S306" s="10">
        <f>Telengana_Results_2024[[#This Row],[BJP vote share]]-Telengana_Results_2024[[#This Row],[Max Vote share other than bjp ]]</f>
        <v>0.10359745250000002</v>
      </c>
      <c r="T306">
        <v>2939057</v>
      </c>
      <c r="U306" s="8">
        <v>0.57029312463000004</v>
      </c>
      <c r="V306" s="1" t="s">
        <v>26</v>
      </c>
    </row>
    <row r="307" spans="1:22" x14ac:dyDescent="0.35">
      <c r="A307">
        <v>2024</v>
      </c>
      <c r="B307" s="1" t="s">
        <v>19</v>
      </c>
      <c r="C307" s="1" t="s">
        <v>1126</v>
      </c>
      <c r="D307" s="1" t="s">
        <v>1155</v>
      </c>
      <c r="E307" s="1" t="s">
        <v>21</v>
      </c>
      <c r="F307" s="1" t="s">
        <v>120</v>
      </c>
      <c r="G307" s="1" t="s">
        <v>112</v>
      </c>
      <c r="H307" s="1" t="s">
        <v>53</v>
      </c>
      <c r="I307" s="1" t="s">
        <v>846</v>
      </c>
      <c r="J307">
        <v>1676124</v>
      </c>
      <c r="K307">
        <v>1668931</v>
      </c>
      <c r="L307">
        <v>628</v>
      </c>
      <c r="M307" s="9">
        <v>3.7628877407000001E-4</v>
      </c>
      <c r="N307">
        <v>636985</v>
      </c>
      <c r="O307" s="9">
        <v>0.38167245979999997</v>
      </c>
      <c r="P307">
        <v>809882</v>
      </c>
      <c r="Q307" s="9">
        <v>0.48526991229999999</v>
      </c>
      <c r="R307">
        <f>Telengana_Results_2024[[#This Row],[BJP votes]]-Telengana_Results_2024[[#This Row],[Max Votes Other Than BJP]]</f>
        <v>172897</v>
      </c>
      <c r="S307" s="10">
        <f>Telengana_Results_2024[[#This Row],[BJP vote share]]-Telengana_Results_2024[[#This Row],[Max Vote share other than bjp ]]</f>
        <v>0.10359745250000002</v>
      </c>
      <c r="T307">
        <v>2939057</v>
      </c>
      <c r="U307" s="8">
        <v>0.57029312463000004</v>
      </c>
      <c r="V307" s="1" t="s">
        <v>26</v>
      </c>
    </row>
    <row r="308" spans="1:22" x14ac:dyDescent="0.35">
      <c r="A308">
        <v>2024</v>
      </c>
      <c r="B308" s="1" t="s">
        <v>19</v>
      </c>
      <c r="C308" s="1" t="s">
        <v>1126</v>
      </c>
      <c r="D308" s="1" t="s">
        <v>1156</v>
      </c>
      <c r="E308" s="1" t="s">
        <v>21</v>
      </c>
      <c r="F308" s="1" t="s">
        <v>71</v>
      </c>
      <c r="G308" s="1" t="s">
        <v>23</v>
      </c>
      <c r="H308" s="1" t="s">
        <v>150</v>
      </c>
      <c r="I308" s="1" t="s">
        <v>151</v>
      </c>
      <c r="J308">
        <v>1676124</v>
      </c>
      <c r="K308">
        <v>1668931</v>
      </c>
      <c r="L308">
        <v>611</v>
      </c>
      <c r="M308" s="9">
        <v>3.6610261299E-4</v>
      </c>
      <c r="N308">
        <v>636985</v>
      </c>
      <c r="O308" s="9">
        <v>0.38167245979999997</v>
      </c>
      <c r="P308">
        <v>809882</v>
      </c>
      <c r="Q308" s="9">
        <v>0.48526991229999999</v>
      </c>
      <c r="R308">
        <f>Telengana_Results_2024[[#This Row],[BJP votes]]-Telengana_Results_2024[[#This Row],[Max Votes Other Than BJP]]</f>
        <v>172897</v>
      </c>
      <c r="S308" s="10">
        <f>Telengana_Results_2024[[#This Row],[BJP vote share]]-Telengana_Results_2024[[#This Row],[Max Vote share other than bjp ]]</f>
        <v>0.10359745250000002</v>
      </c>
      <c r="T308">
        <v>2939057</v>
      </c>
      <c r="U308" s="8">
        <v>0.57029312463000004</v>
      </c>
      <c r="V308" s="1" t="s">
        <v>26</v>
      </c>
    </row>
    <row r="309" spans="1:22" x14ac:dyDescent="0.35">
      <c r="A309">
        <v>2024</v>
      </c>
      <c r="B309" s="1" t="s">
        <v>19</v>
      </c>
      <c r="C309" s="1" t="s">
        <v>1126</v>
      </c>
      <c r="D309" s="1" t="s">
        <v>1157</v>
      </c>
      <c r="E309" s="1" t="s">
        <v>21</v>
      </c>
      <c r="F309" s="1" t="s">
        <v>117</v>
      </c>
      <c r="G309" s="1" t="s">
        <v>112</v>
      </c>
      <c r="H309" s="1" t="s">
        <v>53</v>
      </c>
      <c r="I309" s="1" t="s">
        <v>46</v>
      </c>
      <c r="J309">
        <v>1676124</v>
      </c>
      <c r="K309">
        <v>1668931</v>
      </c>
      <c r="L309">
        <v>583</v>
      </c>
      <c r="M309" s="9">
        <v>3.493254065E-4</v>
      </c>
      <c r="N309">
        <v>636985</v>
      </c>
      <c r="O309" s="9">
        <v>0.38167245979999997</v>
      </c>
      <c r="P309">
        <v>809882</v>
      </c>
      <c r="Q309" s="9">
        <v>0.48526991229999999</v>
      </c>
      <c r="R309">
        <f>Telengana_Results_2024[[#This Row],[BJP votes]]-Telengana_Results_2024[[#This Row],[Max Votes Other Than BJP]]</f>
        <v>172897</v>
      </c>
      <c r="S309" s="10">
        <f>Telengana_Results_2024[[#This Row],[BJP vote share]]-Telengana_Results_2024[[#This Row],[Max Vote share other than bjp ]]</f>
        <v>0.10359745250000002</v>
      </c>
      <c r="T309">
        <v>2939057</v>
      </c>
      <c r="U309" s="8">
        <v>0.57029312463000004</v>
      </c>
      <c r="V309" s="1" t="s">
        <v>26</v>
      </c>
    </row>
    <row r="310" spans="1:22" x14ac:dyDescent="0.35">
      <c r="A310">
        <v>2024</v>
      </c>
      <c r="B310" s="1" t="s">
        <v>19</v>
      </c>
      <c r="C310" s="1" t="s">
        <v>1126</v>
      </c>
      <c r="D310" s="1" t="s">
        <v>1158</v>
      </c>
      <c r="E310" s="1" t="s">
        <v>21</v>
      </c>
      <c r="F310" s="1" t="s">
        <v>95</v>
      </c>
      <c r="G310" s="1" t="s">
        <v>23</v>
      </c>
      <c r="H310" s="1" t="s">
        <v>92</v>
      </c>
      <c r="I310" s="1" t="s">
        <v>892</v>
      </c>
      <c r="J310">
        <v>1676124</v>
      </c>
      <c r="K310">
        <v>1668931</v>
      </c>
      <c r="L310">
        <v>581</v>
      </c>
      <c r="M310" s="9">
        <v>3.4812703460999997E-4</v>
      </c>
      <c r="N310">
        <v>636985</v>
      </c>
      <c r="O310" s="9">
        <v>0.38167245979999997</v>
      </c>
      <c r="P310">
        <v>809882</v>
      </c>
      <c r="Q310" s="9">
        <v>0.48526991229999999</v>
      </c>
      <c r="R310">
        <f>Telengana_Results_2024[[#This Row],[BJP votes]]-Telengana_Results_2024[[#This Row],[Max Votes Other Than BJP]]</f>
        <v>172897</v>
      </c>
      <c r="S310" s="10">
        <f>Telengana_Results_2024[[#This Row],[BJP vote share]]-Telengana_Results_2024[[#This Row],[Max Vote share other than bjp ]]</f>
        <v>0.10359745250000002</v>
      </c>
      <c r="T310">
        <v>2939057</v>
      </c>
      <c r="U310" s="8">
        <v>0.57029312463000004</v>
      </c>
      <c r="V310" s="1" t="s">
        <v>26</v>
      </c>
    </row>
    <row r="311" spans="1:22" x14ac:dyDescent="0.35">
      <c r="A311">
        <v>2024</v>
      </c>
      <c r="B311" s="1" t="s">
        <v>19</v>
      </c>
      <c r="C311" s="1" t="s">
        <v>1126</v>
      </c>
      <c r="D311" s="1" t="s">
        <v>1159</v>
      </c>
      <c r="E311" s="1" t="s">
        <v>21</v>
      </c>
      <c r="F311" s="1" t="s">
        <v>379</v>
      </c>
      <c r="G311" s="1" t="s">
        <v>112</v>
      </c>
      <c r="H311" s="1" t="s">
        <v>1036</v>
      </c>
      <c r="I311" s="1" t="s">
        <v>232</v>
      </c>
      <c r="J311">
        <v>1676124</v>
      </c>
      <c r="K311">
        <v>1668931</v>
      </c>
      <c r="L311">
        <v>525</v>
      </c>
      <c r="M311" s="9">
        <v>3.1457262164E-4</v>
      </c>
      <c r="N311">
        <v>636985</v>
      </c>
      <c r="O311" s="9">
        <v>0.38167245979999997</v>
      </c>
      <c r="P311">
        <v>809882</v>
      </c>
      <c r="Q311" s="9">
        <v>0.48526991229999999</v>
      </c>
      <c r="R311">
        <f>Telengana_Results_2024[[#This Row],[BJP votes]]-Telengana_Results_2024[[#This Row],[Max Votes Other Than BJP]]</f>
        <v>172897</v>
      </c>
      <c r="S311" s="10">
        <f>Telengana_Results_2024[[#This Row],[BJP vote share]]-Telengana_Results_2024[[#This Row],[Max Vote share other than bjp ]]</f>
        <v>0.10359745250000002</v>
      </c>
      <c r="T311">
        <v>2939057</v>
      </c>
      <c r="U311" s="8">
        <v>0.57029312463000004</v>
      </c>
      <c r="V311" s="1" t="s">
        <v>26</v>
      </c>
    </row>
    <row r="312" spans="1:22" x14ac:dyDescent="0.35">
      <c r="A312">
        <v>2024</v>
      </c>
      <c r="B312" s="1" t="s">
        <v>19</v>
      </c>
      <c r="C312" s="1" t="s">
        <v>1126</v>
      </c>
      <c r="D312" s="1" t="s">
        <v>1160</v>
      </c>
      <c r="E312" s="1" t="s">
        <v>21</v>
      </c>
      <c r="F312" s="1" t="s">
        <v>59</v>
      </c>
      <c r="G312" s="1" t="s">
        <v>112</v>
      </c>
      <c r="H312" s="1" t="s">
        <v>53</v>
      </c>
      <c r="I312" s="1" t="s">
        <v>911</v>
      </c>
      <c r="J312">
        <v>1676124</v>
      </c>
      <c r="K312">
        <v>1668931</v>
      </c>
      <c r="L312">
        <v>494</v>
      </c>
      <c r="M312" s="9">
        <v>2.9599785731E-4</v>
      </c>
      <c r="N312">
        <v>636985</v>
      </c>
      <c r="O312" s="9">
        <v>0.38167245979999997</v>
      </c>
      <c r="P312">
        <v>809882</v>
      </c>
      <c r="Q312" s="9">
        <v>0.48526991229999999</v>
      </c>
      <c r="R312">
        <f>Telengana_Results_2024[[#This Row],[BJP votes]]-Telengana_Results_2024[[#This Row],[Max Votes Other Than BJP]]</f>
        <v>172897</v>
      </c>
      <c r="S312" s="10">
        <f>Telengana_Results_2024[[#This Row],[BJP vote share]]-Telengana_Results_2024[[#This Row],[Max Vote share other than bjp ]]</f>
        <v>0.10359745250000002</v>
      </c>
      <c r="T312">
        <v>2939057</v>
      </c>
      <c r="U312" s="8">
        <v>0.57029312463000004</v>
      </c>
      <c r="V312" s="1" t="s">
        <v>26</v>
      </c>
    </row>
    <row r="313" spans="1:22" x14ac:dyDescent="0.35">
      <c r="A313">
        <v>2024</v>
      </c>
      <c r="B313" s="1" t="s">
        <v>19</v>
      </c>
      <c r="C313" s="1" t="s">
        <v>1126</v>
      </c>
      <c r="D313" s="1" t="s">
        <v>1161</v>
      </c>
      <c r="E313" s="1" t="s">
        <v>21</v>
      </c>
      <c r="F313" s="1" t="s">
        <v>44</v>
      </c>
      <c r="G313" s="1" t="s">
        <v>112</v>
      </c>
      <c r="H313" s="1" t="s">
        <v>53</v>
      </c>
      <c r="I313" s="1" t="s">
        <v>843</v>
      </c>
      <c r="J313">
        <v>1676124</v>
      </c>
      <c r="K313">
        <v>1668931</v>
      </c>
      <c r="L313">
        <v>489</v>
      </c>
      <c r="M313" s="9">
        <v>2.9300192757999999E-4</v>
      </c>
      <c r="N313">
        <v>636985</v>
      </c>
      <c r="O313" s="9">
        <v>0.38167245979999997</v>
      </c>
      <c r="P313">
        <v>809882</v>
      </c>
      <c r="Q313" s="9">
        <v>0.48526991229999999</v>
      </c>
      <c r="R313">
        <f>Telengana_Results_2024[[#This Row],[BJP votes]]-Telengana_Results_2024[[#This Row],[Max Votes Other Than BJP]]</f>
        <v>172897</v>
      </c>
      <c r="S313" s="10">
        <f>Telengana_Results_2024[[#This Row],[BJP vote share]]-Telengana_Results_2024[[#This Row],[Max Vote share other than bjp ]]</f>
        <v>0.10359745250000002</v>
      </c>
      <c r="T313">
        <v>2939057</v>
      </c>
      <c r="U313" s="8">
        <v>0.57029312463000004</v>
      </c>
      <c r="V313" s="1" t="s">
        <v>26</v>
      </c>
    </row>
    <row r="314" spans="1:22" x14ac:dyDescent="0.35">
      <c r="A314">
        <v>2024</v>
      </c>
      <c r="B314" s="1" t="s">
        <v>19</v>
      </c>
      <c r="C314" s="1" t="s">
        <v>1126</v>
      </c>
      <c r="D314" s="1" t="s">
        <v>1162</v>
      </c>
      <c r="E314" s="1" t="s">
        <v>21</v>
      </c>
      <c r="F314" s="1" t="s">
        <v>44</v>
      </c>
      <c r="G314" s="1" t="s">
        <v>67</v>
      </c>
      <c r="H314" s="1" t="s">
        <v>53</v>
      </c>
      <c r="I314" s="1" t="s">
        <v>161</v>
      </c>
      <c r="J314">
        <v>1676124</v>
      </c>
      <c r="K314">
        <v>1668931</v>
      </c>
      <c r="L314">
        <v>488</v>
      </c>
      <c r="M314" s="9">
        <v>2.9240274163999999E-4</v>
      </c>
      <c r="N314">
        <v>636985</v>
      </c>
      <c r="O314" s="9">
        <v>0.38167245979999997</v>
      </c>
      <c r="P314">
        <v>809882</v>
      </c>
      <c r="Q314" s="9">
        <v>0.48526991229999999</v>
      </c>
      <c r="R314">
        <f>Telengana_Results_2024[[#This Row],[BJP votes]]-Telengana_Results_2024[[#This Row],[Max Votes Other Than BJP]]</f>
        <v>172897</v>
      </c>
      <c r="S314" s="10">
        <f>Telengana_Results_2024[[#This Row],[BJP vote share]]-Telengana_Results_2024[[#This Row],[Max Vote share other than bjp ]]</f>
        <v>0.10359745250000002</v>
      </c>
      <c r="T314">
        <v>2939057</v>
      </c>
      <c r="U314" s="8">
        <v>0.57029312463000004</v>
      </c>
      <c r="V314" s="1" t="s">
        <v>26</v>
      </c>
    </row>
    <row r="315" spans="1:22" x14ac:dyDescent="0.35">
      <c r="A315">
        <v>2024</v>
      </c>
      <c r="B315" s="1" t="s">
        <v>19</v>
      </c>
      <c r="C315" s="1" t="s">
        <v>1126</v>
      </c>
      <c r="D315" s="1" t="s">
        <v>1163</v>
      </c>
      <c r="E315" s="1" t="s">
        <v>21</v>
      </c>
      <c r="F315" s="1" t="s">
        <v>183</v>
      </c>
      <c r="G315" s="1" t="s">
        <v>112</v>
      </c>
      <c r="H315" s="1" t="s">
        <v>53</v>
      </c>
      <c r="I315" s="1" t="s">
        <v>890</v>
      </c>
      <c r="J315">
        <v>1676124</v>
      </c>
      <c r="K315">
        <v>1668931</v>
      </c>
      <c r="L315">
        <v>449</v>
      </c>
      <c r="M315" s="9">
        <v>2.6903448973999999E-4</v>
      </c>
      <c r="N315">
        <v>636985</v>
      </c>
      <c r="O315" s="9">
        <v>0.38167245979999997</v>
      </c>
      <c r="P315">
        <v>809882</v>
      </c>
      <c r="Q315" s="9">
        <v>0.48526991229999999</v>
      </c>
      <c r="R315">
        <f>Telengana_Results_2024[[#This Row],[BJP votes]]-Telengana_Results_2024[[#This Row],[Max Votes Other Than BJP]]</f>
        <v>172897</v>
      </c>
      <c r="S315" s="10">
        <f>Telengana_Results_2024[[#This Row],[BJP vote share]]-Telengana_Results_2024[[#This Row],[Max Vote share other than bjp ]]</f>
        <v>0.10359745250000002</v>
      </c>
      <c r="T315">
        <v>2939057</v>
      </c>
      <c r="U315" s="8">
        <v>0.57029312463000004</v>
      </c>
      <c r="V315" s="1" t="s">
        <v>26</v>
      </c>
    </row>
    <row r="316" spans="1:22" x14ac:dyDescent="0.35">
      <c r="A316">
        <v>2024</v>
      </c>
      <c r="B316" s="1" t="s">
        <v>19</v>
      </c>
      <c r="C316" s="1" t="s">
        <v>1126</v>
      </c>
      <c r="D316" s="1" t="s">
        <v>1164</v>
      </c>
      <c r="E316" s="1" t="s">
        <v>21</v>
      </c>
      <c r="F316" s="1" t="s">
        <v>62</v>
      </c>
      <c r="G316" s="1" t="s">
        <v>112</v>
      </c>
      <c r="H316" s="1" t="s">
        <v>53</v>
      </c>
      <c r="I316" s="1" t="s">
        <v>897</v>
      </c>
      <c r="J316">
        <v>1676124</v>
      </c>
      <c r="K316">
        <v>1668931</v>
      </c>
      <c r="L316">
        <v>446</v>
      </c>
      <c r="M316" s="9">
        <v>2.672369319E-4</v>
      </c>
      <c r="N316">
        <v>636985</v>
      </c>
      <c r="O316" s="9">
        <v>0.38167245979999997</v>
      </c>
      <c r="P316">
        <v>809882</v>
      </c>
      <c r="Q316" s="9">
        <v>0.48526991229999999</v>
      </c>
      <c r="R316">
        <f>Telengana_Results_2024[[#This Row],[BJP votes]]-Telengana_Results_2024[[#This Row],[Max Votes Other Than BJP]]</f>
        <v>172897</v>
      </c>
      <c r="S316" s="10">
        <f>Telengana_Results_2024[[#This Row],[BJP vote share]]-Telengana_Results_2024[[#This Row],[Max Vote share other than bjp ]]</f>
        <v>0.10359745250000002</v>
      </c>
      <c r="T316">
        <v>2939057</v>
      </c>
      <c r="U316" s="8">
        <v>0.57029312463000004</v>
      </c>
      <c r="V316" s="1" t="s">
        <v>26</v>
      </c>
    </row>
    <row r="317" spans="1:22" x14ac:dyDescent="0.35">
      <c r="A317">
        <v>2024</v>
      </c>
      <c r="B317" s="1" t="s">
        <v>19</v>
      </c>
      <c r="C317" s="1" t="s">
        <v>1126</v>
      </c>
      <c r="D317" s="1" t="s">
        <v>1165</v>
      </c>
      <c r="E317" s="1" t="s">
        <v>21</v>
      </c>
      <c r="F317" s="1" t="s">
        <v>143</v>
      </c>
      <c r="G317" s="1" t="s">
        <v>112</v>
      </c>
      <c r="H317" s="1" t="s">
        <v>1166</v>
      </c>
      <c r="I317" s="1" t="s">
        <v>341</v>
      </c>
      <c r="J317">
        <v>1676124</v>
      </c>
      <c r="K317">
        <v>1668931</v>
      </c>
      <c r="L317">
        <v>436</v>
      </c>
      <c r="M317" s="9">
        <v>2.6124507244000003E-4</v>
      </c>
      <c r="N317">
        <v>636985</v>
      </c>
      <c r="O317" s="9">
        <v>0.38167245979999997</v>
      </c>
      <c r="P317">
        <v>809882</v>
      </c>
      <c r="Q317" s="9">
        <v>0.48526991229999999</v>
      </c>
      <c r="R317">
        <f>Telengana_Results_2024[[#This Row],[BJP votes]]-Telengana_Results_2024[[#This Row],[Max Votes Other Than BJP]]</f>
        <v>172897</v>
      </c>
      <c r="S317" s="10">
        <f>Telengana_Results_2024[[#This Row],[BJP vote share]]-Telengana_Results_2024[[#This Row],[Max Vote share other than bjp ]]</f>
        <v>0.10359745250000002</v>
      </c>
      <c r="T317">
        <v>2939057</v>
      </c>
      <c r="U317" s="8">
        <v>0.57029312463000004</v>
      </c>
      <c r="V317" s="1" t="s">
        <v>26</v>
      </c>
    </row>
    <row r="318" spans="1:22" x14ac:dyDescent="0.35">
      <c r="A318">
        <v>2024</v>
      </c>
      <c r="B318" s="1" t="s">
        <v>19</v>
      </c>
      <c r="C318" s="1" t="s">
        <v>1126</v>
      </c>
      <c r="D318" s="1" t="s">
        <v>1167</v>
      </c>
      <c r="E318" s="1" t="s">
        <v>21</v>
      </c>
      <c r="F318" s="1" t="s">
        <v>117</v>
      </c>
      <c r="G318" s="1" t="s">
        <v>67</v>
      </c>
      <c r="H318" s="1" t="s">
        <v>84</v>
      </c>
      <c r="I318" s="1" t="s">
        <v>85</v>
      </c>
      <c r="J318">
        <v>1676124</v>
      </c>
      <c r="K318">
        <v>1668931</v>
      </c>
      <c r="L318">
        <v>430</v>
      </c>
      <c r="M318" s="9">
        <v>2.5764995677000002E-4</v>
      </c>
      <c r="N318">
        <v>636985</v>
      </c>
      <c r="O318" s="9">
        <v>0.38167245979999997</v>
      </c>
      <c r="P318">
        <v>809882</v>
      </c>
      <c r="Q318" s="9">
        <v>0.48526991229999999</v>
      </c>
      <c r="R318">
        <f>Telengana_Results_2024[[#This Row],[BJP votes]]-Telengana_Results_2024[[#This Row],[Max Votes Other Than BJP]]</f>
        <v>172897</v>
      </c>
      <c r="S318" s="10">
        <f>Telengana_Results_2024[[#This Row],[BJP vote share]]-Telengana_Results_2024[[#This Row],[Max Vote share other than bjp ]]</f>
        <v>0.10359745250000002</v>
      </c>
      <c r="T318">
        <v>2939057</v>
      </c>
      <c r="U318" s="8">
        <v>0.57029312463000004</v>
      </c>
      <c r="V318" s="1" t="s">
        <v>26</v>
      </c>
    </row>
    <row r="319" spans="1:22" x14ac:dyDescent="0.35">
      <c r="A319">
        <v>2024</v>
      </c>
      <c r="B319" s="1" t="s">
        <v>19</v>
      </c>
      <c r="C319" s="1" t="s">
        <v>1126</v>
      </c>
      <c r="D319" s="1" t="s">
        <v>1168</v>
      </c>
      <c r="E319" s="1" t="s">
        <v>21</v>
      </c>
      <c r="F319" s="1" t="s">
        <v>40</v>
      </c>
      <c r="G319" s="1" t="s">
        <v>67</v>
      </c>
      <c r="H319" s="1" t="s">
        <v>53</v>
      </c>
      <c r="I319" s="1" t="s">
        <v>440</v>
      </c>
      <c r="J319">
        <v>1676124</v>
      </c>
      <c r="K319">
        <v>1668931</v>
      </c>
      <c r="L319">
        <v>397</v>
      </c>
      <c r="M319" s="9">
        <v>2.3787682055E-4</v>
      </c>
      <c r="N319">
        <v>636985</v>
      </c>
      <c r="O319" s="9">
        <v>0.38167245979999997</v>
      </c>
      <c r="P319">
        <v>809882</v>
      </c>
      <c r="Q319" s="9">
        <v>0.48526991229999999</v>
      </c>
      <c r="R319">
        <f>Telengana_Results_2024[[#This Row],[BJP votes]]-Telengana_Results_2024[[#This Row],[Max Votes Other Than BJP]]</f>
        <v>172897</v>
      </c>
      <c r="S319" s="10">
        <f>Telengana_Results_2024[[#This Row],[BJP vote share]]-Telengana_Results_2024[[#This Row],[Max Vote share other than bjp ]]</f>
        <v>0.10359745250000002</v>
      </c>
      <c r="T319">
        <v>2939057</v>
      </c>
      <c r="U319" s="8">
        <v>0.57029312463000004</v>
      </c>
      <c r="V319" s="1" t="s">
        <v>26</v>
      </c>
    </row>
    <row r="320" spans="1:22" x14ac:dyDescent="0.35">
      <c r="A320">
        <v>2024</v>
      </c>
      <c r="B320" s="1" t="s">
        <v>19</v>
      </c>
      <c r="C320" s="1" t="s">
        <v>1126</v>
      </c>
      <c r="D320" s="1" t="s">
        <v>1169</v>
      </c>
      <c r="E320" s="1" t="s">
        <v>21</v>
      </c>
      <c r="F320" s="1" t="s">
        <v>71</v>
      </c>
      <c r="G320" s="1" t="s">
        <v>67</v>
      </c>
      <c r="H320" s="1" t="s">
        <v>1023</v>
      </c>
      <c r="I320" s="1" t="s">
        <v>826</v>
      </c>
      <c r="J320">
        <v>1676124</v>
      </c>
      <c r="K320">
        <v>1668931</v>
      </c>
      <c r="L320">
        <v>312</v>
      </c>
      <c r="M320" s="9">
        <v>1.8694601513999999E-4</v>
      </c>
      <c r="N320">
        <v>636985</v>
      </c>
      <c r="O320" s="9">
        <v>0.38167245979999997</v>
      </c>
      <c r="P320">
        <v>809882</v>
      </c>
      <c r="Q320" s="9">
        <v>0.48526991229999999</v>
      </c>
      <c r="R320">
        <f>Telengana_Results_2024[[#This Row],[BJP votes]]-Telengana_Results_2024[[#This Row],[Max Votes Other Than BJP]]</f>
        <v>172897</v>
      </c>
      <c r="S320" s="10">
        <f>Telengana_Results_2024[[#This Row],[BJP vote share]]-Telengana_Results_2024[[#This Row],[Max Vote share other than bjp ]]</f>
        <v>0.10359745250000002</v>
      </c>
      <c r="T320">
        <v>2939057</v>
      </c>
      <c r="U320" s="8">
        <v>0.57029312463000004</v>
      </c>
      <c r="V320" s="1" t="s">
        <v>26</v>
      </c>
    </row>
    <row r="321" spans="1:22" x14ac:dyDescent="0.35">
      <c r="A321">
        <v>2024</v>
      </c>
      <c r="B321" s="1" t="s">
        <v>19</v>
      </c>
      <c r="C321" s="1" t="s">
        <v>1126</v>
      </c>
      <c r="D321" s="1" t="s">
        <v>1170</v>
      </c>
      <c r="E321" s="1" t="s">
        <v>21</v>
      </c>
      <c r="F321" s="1" t="s">
        <v>22</v>
      </c>
      <c r="G321" s="1" t="s">
        <v>112</v>
      </c>
      <c r="H321" s="1" t="s">
        <v>53</v>
      </c>
      <c r="I321" s="1" t="s">
        <v>851</v>
      </c>
      <c r="J321">
        <v>1676124</v>
      </c>
      <c r="K321">
        <v>1668931</v>
      </c>
      <c r="L321">
        <v>301</v>
      </c>
      <c r="M321" s="9">
        <v>1.8035496974E-4</v>
      </c>
      <c r="N321">
        <v>636985</v>
      </c>
      <c r="O321" s="9">
        <v>0.38167245979999997</v>
      </c>
      <c r="P321">
        <v>809882</v>
      </c>
      <c r="Q321" s="9">
        <v>0.48526991229999999</v>
      </c>
      <c r="R321">
        <f>Telengana_Results_2024[[#This Row],[BJP votes]]-Telengana_Results_2024[[#This Row],[Max Votes Other Than BJP]]</f>
        <v>172897</v>
      </c>
      <c r="S321" s="10">
        <f>Telengana_Results_2024[[#This Row],[BJP vote share]]-Telengana_Results_2024[[#This Row],[Max Vote share other than bjp ]]</f>
        <v>0.10359745250000002</v>
      </c>
      <c r="T321">
        <v>2939057</v>
      </c>
      <c r="U321" s="8">
        <v>0.57029312463000004</v>
      </c>
      <c r="V321" s="1" t="s">
        <v>26</v>
      </c>
    </row>
    <row r="322" spans="1:22" x14ac:dyDescent="0.35">
      <c r="A322">
        <v>2024</v>
      </c>
      <c r="B322" s="1" t="s">
        <v>19</v>
      </c>
      <c r="C322" s="1" t="s">
        <v>1126</v>
      </c>
      <c r="D322" s="1" t="s">
        <v>1171</v>
      </c>
      <c r="E322" s="1" t="s">
        <v>21</v>
      </c>
      <c r="F322" s="1" t="s">
        <v>48</v>
      </c>
      <c r="G322" s="1" t="s">
        <v>112</v>
      </c>
      <c r="H322" s="1" t="s">
        <v>53</v>
      </c>
      <c r="I322" s="1" t="s">
        <v>865</v>
      </c>
      <c r="J322">
        <v>1676124</v>
      </c>
      <c r="K322">
        <v>1668931</v>
      </c>
      <c r="L322">
        <v>285</v>
      </c>
      <c r="M322" s="9">
        <v>1.7076799459999999E-4</v>
      </c>
      <c r="N322">
        <v>636985</v>
      </c>
      <c r="O322" s="9">
        <v>0.38167245979999997</v>
      </c>
      <c r="P322">
        <v>809882</v>
      </c>
      <c r="Q322" s="9">
        <v>0.48526991229999999</v>
      </c>
      <c r="R322">
        <f>Telengana_Results_2024[[#This Row],[BJP votes]]-Telengana_Results_2024[[#This Row],[Max Votes Other Than BJP]]</f>
        <v>172897</v>
      </c>
      <c r="S322" s="10">
        <f>Telengana_Results_2024[[#This Row],[BJP vote share]]-Telengana_Results_2024[[#This Row],[Max Vote share other than bjp ]]</f>
        <v>0.10359745250000002</v>
      </c>
      <c r="T322">
        <v>2939057</v>
      </c>
      <c r="U322" s="8">
        <v>0.57029312463000004</v>
      </c>
      <c r="V322" s="1" t="s">
        <v>26</v>
      </c>
    </row>
    <row r="323" spans="1:22" x14ac:dyDescent="0.35">
      <c r="A323">
        <v>2024</v>
      </c>
      <c r="B323" s="1" t="s">
        <v>19</v>
      </c>
      <c r="C323" s="1" t="s">
        <v>1126</v>
      </c>
      <c r="D323" s="1" t="s">
        <v>1172</v>
      </c>
      <c r="E323" s="1" t="s">
        <v>21</v>
      </c>
      <c r="F323" s="1" t="s">
        <v>155</v>
      </c>
      <c r="G323" s="1" t="s">
        <v>112</v>
      </c>
      <c r="H323" s="1" t="s">
        <v>53</v>
      </c>
      <c r="I323" s="1" t="s">
        <v>857</v>
      </c>
      <c r="J323">
        <v>1676124</v>
      </c>
      <c r="K323">
        <v>1668931</v>
      </c>
      <c r="L323">
        <v>248</v>
      </c>
      <c r="M323" s="9">
        <v>1.4859811460000001E-4</v>
      </c>
      <c r="N323">
        <v>636985</v>
      </c>
      <c r="O323" s="9">
        <v>0.38167245979999997</v>
      </c>
      <c r="P323">
        <v>809882</v>
      </c>
      <c r="Q323" s="9">
        <v>0.48526991229999999</v>
      </c>
      <c r="R323">
        <f>Telengana_Results_2024[[#This Row],[BJP votes]]-Telengana_Results_2024[[#This Row],[Max Votes Other Than BJP]]</f>
        <v>172897</v>
      </c>
      <c r="S323" s="10">
        <f>Telengana_Results_2024[[#This Row],[BJP vote share]]-Telengana_Results_2024[[#This Row],[Max Vote share other than bjp ]]</f>
        <v>0.10359745250000002</v>
      </c>
      <c r="T323">
        <v>2939057</v>
      </c>
      <c r="U323" s="8">
        <v>0.57029312463000004</v>
      </c>
      <c r="V323" s="1" t="s">
        <v>26</v>
      </c>
    </row>
    <row r="324" spans="1:22" x14ac:dyDescent="0.35">
      <c r="A324">
        <v>2024</v>
      </c>
      <c r="B324" s="1" t="s">
        <v>19</v>
      </c>
      <c r="C324" s="1" t="s">
        <v>1126</v>
      </c>
      <c r="D324" s="1" t="s">
        <v>1173</v>
      </c>
      <c r="E324" s="1" t="s">
        <v>21</v>
      </c>
      <c r="F324" s="1" t="s">
        <v>379</v>
      </c>
      <c r="G324" s="1" t="s">
        <v>112</v>
      </c>
      <c r="H324" s="1" t="s">
        <v>53</v>
      </c>
      <c r="I324" s="1" t="s">
        <v>491</v>
      </c>
      <c r="J324">
        <v>1676124</v>
      </c>
      <c r="K324">
        <v>1668931</v>
      </c>
      <c r="L324">
        <v>228</v>
      </c>
      <c r="M324" s="9">
        <v>1.3661439568000001E-4</v>
      </c>
      <c r="N324">
        <v>636985</v>
      </c>
      <c r="O324" s="9">
        <v>0.38167245979999997</v>
      </c>
      <c r="P324">
        <v>809882</v>
      </c>
      <c r="Q324" s="9">
        <v>0.48526991229999999</v>
      </c>
      <c r="R324">
        <f>Telengana_Results_2024[[#This Row],[BJP votes]]-Telengana_Results_2024[[#This Row],[Max Votes Other Than BJP]]</f>
        <v>172897</v>
      </c>
      <c r="S324" s="10">
        <f>Telengana_Results_2024[[#This Row],[BJP vote share]]-Telengana_Results_2024[[#This Row],[Max Vote share other than bjp ]]</f>
        <v>0.10359745250000002</v>
      </c>
      <c r="T324">
        <v>2939057</v>
      </c>
      <c r="U324" s="8">
        <v>0.57029312463000004</v>
      </c>
      <c r="V324" s="1" t="s">
        <v>26</v>
      </c>
    </row>
    <row r="325" spans="1:22" x14ac:dyDescent="0.35">
      <c r="A325">
        <v>2024</v>
      </c>
      <c r="B325" s="1" t="s">
        <v>19</v>
      </c>
      <c r="C325" s="1" t="s">
        <v>1126</v>
      </c>
      <c r="D325" s="1" t="s">
        <v>1174</v>
      </c>
      <c r="E325" s="1" t="s">
        <v>21</v>
      </c>
      <c r="F325" s="1" t="s">
        <v>120</v>
      </c>
      <c r="G325" s="1" t="s">
        <v>112</v>
      </c>
      <c r="H325" s="1" t="s">
        <v>53</v>
      </c>
      <c r="I325" s="1" t="s">
        <v>167</v>
      </c>
      <c r="J325">
        <v>1676124</v>
      </c>
      <c r="K325">
        <v>1668931</v>
      </c>
      <c r="L325">
        <v>179</v>
      </c>
      <c r="M325" s="9">
        <v>1.0725428433E-4</v>
      </c>
      <c r="N325">
        <v>636985</v>
      </c>
      <c r="O325" s="9">
        <v>0.38167245979999997</v>
      </c>
      <c r="P325">
        <v>809882</v>
      </c>
      <c r="Q325" s="9">
        <v>0.48526991229999999</v>
      </c>
      <c r="R325">
        <f>Telengana_Results_2024[[#This Row],[BJP votes]]-Telengana_Results_2024[[#This Row],[Max Votes Other Than BJP]]</f>
        <v>172897</v>
      </c>
      <c r="S325" s="10">
        <f>Telengana_Results_2024[[#This Row],[BJP vote share]]-Telengana_Results_2024[[#This Row],[Max Vote share other than bjp ]]</f>
        <v>0.10359745250000002</v>
      </c>
      <c r="T325">
        <v>2939057</v>
      </c>
      <c r="U325" s="8">
        <v>0.57029312463000004</v>
      </c>
      <c r="V325" s="1" t="s">
        <v>26</v>
      </c>
    </row>
    <row r="326" spans="1:22" x14ac:dyDescent="0.35">
      <c r="A326">
        <v>2024</v>
      </c>
      <c r="B326" s="1" t="s">
        <v>19</v>
      </c>
      <c r="C326" s="1" t="s">
        <v>626</v>
      </c>
      <c r="D326" s="1" t="s">
        <v>1175</v>
      </c>
      <c r="E326" s="1" t="s">
        <v>35</v>
      </c>
      <c r="F326" s="1" t="s">
        <v>559</v>
      </c>
      <c r="G326" s="1" t="s">
        <v>112</v>
      </c>
      <c r="H326" s="1" t="s">
        <v>32</v>
      </c>
      <c r="I326" s="1" t="s">
        <v>33</v>
      </c>
      <c r="J326">
        <v>1227560</v>
      </c>
      <c r="K326">
        <v>1221748</v>
      </c>
      <c r="L326">
        <v>510747</v>
      </c>
      <c r="M326" s="9">
        <v>0.41804611098</v>
      </c>
      <c r="N326">
        <v>506247</v>
      </c>
      <c r="O326" s="9">
        <v>0.41436286369999997</v>
      </c>
      <c r="P326">
        <v>510747</v>
      </c>
      <c r="Q326" s="9">
        <v>0.41804611098</v>
      </c>
      <c r="R326">
        <f>Telengana_Results_2024[[#This Row],[BJP votes]]-Telengana_Results_2024[[#This Row],[Max Votes Other Than BJP]]</f>
        <v>4500</v>
      </c>
      <c r="S326" s="10">
        <f>Telengana_Results_2024[[#This Row],[BJP vote share]]-Telengana_Results_2024[[#This Row],[Max Vote share other than bjp ]]</f>
        <v>3.6832472800000238E-3</v>
      </c>
      <c r="T326">
        <v>1683709</v>
      </c>
      <c r="U326" s="8">
        <v>0.72908085660999999</v>
      </c>
      <c r="V326" s="1" t="s">
        <v>26</v>
      </c>
    </row>
    <row r="327" spans="1:22" x14ac:dyDescent="0.35">
      <c r="A327">
        <v>2024</v>
      </c>
      <c r="B327" s="1" t="s">
        <v>19</v>
      </c>
      <c r="C327" s="1" t="s">
        <v>626</v>
      </c>
      <c r="D327" s="1" t="s">
        <v>628</v>
      </c>
      <c r="E327" s="1" t="s">
        <v>21</v>
      </c>
      <c r="F327" s="1" t="s">
        <v>117</v>
      </c>
      <c r="G327" s="1" t="s">
        <v>112</v>
      </c>
      <c r="H327" s="1" t="s">
        <v>29</v>
      </c>
      <c r="I327" s="1" t="s">
        <v>30</v>
      </c>
      <c r="J327">
        <v>1227560</v>
      </c>
      <c r="K327">
        <v>1221748</v>
      </c>
      <c r="L327">
        <v>506247</v>
      </c>
      <c r="M327" s="9">
        <v>0.41436286369999997</v>
      </c>
      <c r="N327">
        <v>506247</v>
      </c>
      <c r="O327" s="9">
        <v>0.41436286369999997</v>
      </c>
      <c r="P327">
        <v>510747</v>
      </c>
      <c r="Q327" s="9">
        <v>0.41804611098</v>
      </c>
      <c r="R327">
        <f>Telengana_Results_2024[[#This Row],[BJP votes]]-Telengana_Results_2024[[#This Row],[Max Votes Other Than BJP]]</f>
        <v>4500</v>
      </c>
      <c r="S327" s="10">
        <f>Telengana_Results_2024[[#This Row],[BJP vote share]]-Telengana_Results_2024[[#This Row],[Max Vote share other than bjp ]]</f>
        <v>3.6832472800000238E-3</v>
      </c>
      <c r="T327">
        <v>1683709</v>
      </c>
      <c r="U327" s="8">
        <v>0.72908085660999999</v>
      </c>
      <c r="V327" s="1" t="s">
        <v>26</v>
      </c>
    </row>
    <row r="328" spans="1:22" x14ac:dyDescent="0.35">
      <c r="A328">
        <v>2024</v>
      </c>
      <c r="B328" s="1" t="s">
        <v>19</v>
      </c>
      <c r="C328" s="1" t="s">
        <v>626</v>
      </c>
      <c r="D328" s="1" t="s">
        <v>629</v>
      </c>
      <c r="E328" s="1" t="s">
        <v>21</v>
      </c>
      <c r="F328" s="1" t="s">
        <v>703</v>
      </c>
      <c r="G328" s="1" t="s">
        <v>112</v>
      </c>
      <c r="H328" s="1" t="s">
        <v>785</v>
      </c>
      <c r="I328" s="1" t="s">
        <v>25</v>
      </c>
      <c r="J328">
        <v>1227560</v>
      </c>
      <c r="K328">
        <v>1221748</v>
      </c>
      <c r="L328">
        <v>154792</v>
      </c>
      <c r="M328" s="9">
        <v>0.12669715849999999</v>
      </c>
      <c r="N328">
        <v>506247</v>
      </c>
      <c r="O328" s="9">
        <v>0.41436286369999997</v>
      </c>
      <c r="P328">
        <v>510747</v>
      </c>
      <c r="Q328" s="9">
        <v>0.41804611098</v>
      </c>
      <c r="R328">
        <f>Telengana_Results_2024[[#This Row],[BJP votes]]-Telengana_Results_2024[[#This Row],[Max Votes Other Than BJP]]</f>
        <v>4500</v>
      </c>
      <c r="S328" s="10">
        <f>Telengana_Results_2024[[#This Row],[BJP vote share]]-Telengana_Results_2024[[#This Row],[Max Vote share other than bjp ]]</f>
        <v>3.6832472800000238E-3</v>
      </c>
      <c r="T328">
        <v>1683709</v>
      </c>
      <c r="U328" s="8">
        <v>0.72908085660999999</v>
      </c>
      <c r="V328" s="1" t="s">
        <v>26</v>
      </c>
    </row>
    <row r="329" spans="1:22" x14ac:dyDescent="0.35">
      <c r="A329">
        <v>2024</v>
      </c>
      <c r="B329" s="1" t="s">
        <v>19</v>
      </c>
      <c r="C329" s="1" t="s">
        <v>626</v>
      </c>
      <c r="D329" s="1" t="s">
        <v>1176</v>
      </c>
      <c r="E329" s="1" t="s">
        <v>21</v>
      </c>
      <c r="F329" s="1" t="s">
        <v>22</v>
      </c>
      <c r="G329" s="1" t="s">
        <v>112</v>
      </c>
      <c r="H329" s="1" t="s">
        <v>787</v>
      </c>
      <c r="I329" s="1" t="s">
        <v>788</v>
      </c>
      <c r="J329">
        <v>1227560</v>
      </c>
      <c r="K329">
        <v>1221748</v>
      </c>
      <c r="L329">
        <v>6379</v>
      </c>
      <c r="M329" s="9">
        <v>5.2212076467000003E-3</v>
      </c>
      <c r="N329">
        <v>506247</v>
      </c>
      <c r="O329" s="9">
        <v>0.41436286369999997</v>
      </c>
      <c r="P329">
        <v>510747</v>
      </c>
      <c r="Q329" s="9">
        <v>0.41804611098</v>
      </c>
      <c r="R329">
        <f>Telengana_Results_2024[[#This Row],[BJP votes]]-Telengana_Results_2024[[#This Row],[Max Votes Other Than BJP]]</f>
        <v>4500</v>
      </c>
      <c r="S329" s="10">
        <f>Telengana_Results_2024[[#This Row],[BJP vote share]]-Telengana_Results_2024[[#This Row],[Max Vote share other than bjp ]]</f>
        <v>3.6832472800000238E-3</v>
      </c>
      <c r="T329">
        <v>1683709</v>
      </c>
      <c r="U329" s="8">
        <v>0.72908085660999999</v>
      </c>
      <c r="V329" s="1" t="s">
        <v>26</v>
      </c>
    </row>
    <row r="330" spans="1:22" x14ac:dyDescent="0.35">
      <c r="A330">
        <v>2024</v>
      </c>
      <c r="B330" s="1" t="s">
        <v>19</v>
      </c>
      <c r="C330" s="1" t="s">
        <v>626</v>
      </c>
      <c r="D330" s="1" t="s">
        <v>1177</v>
      </c>
      <c r="E330" s="1" t="s">
        <v>21</v>
      </c>
      <c r="F330" s="1" t="s">
        <v>59</v>
      </c>
      <c r="G330" s="1" t="s">
        <v>112</v>
      </c>
      <c r="H330" s="1" t="s">
        <v>53</v>
      </c>
      <c r="I330" s="1" t="s">
        <v>1178</v>
      </c>
      <c r="J330">
        <v>1227560</v>
      </c>
      <c r="K330">
        <v>1221748</v>
      </c>
      <c r="L330">
        <v>4470</v>
      </c>
      <c r="M330" s="9">
        <v>3.6586922999000001E-3</v>
      </c>
      <c r="N330">
        <v>506247</v>
      </c>
      <c r="O330" s="9">
        <v>0.41436286369999997</v>
      </c>
      <c r="P330">
        <v>510747</v>
      </c>
      <c r="Q330" s="9">
        <v>0.41804611098</v>
      </c>
      <c r="R330">
        <f>Telengana_Results_2024[[#This Row],[BJP votes]]-Telengana_Results_2024[[#This Row],[Max Votes Other Than BJP]]</f>
        <v>4500</v>
      </c>
      <c r="S330" s="10">
        <f>Telengana_Results_2024[[#This Row],[BJP vote share]]-Telengana_Results_2024[[#This Row],[Max Vote share other than bjp ]]</f>
        <v>3.6832472800000238E-3</v>
      </c>
      <c r="T330">
        <v>1683709</v>
      </c>
      <c r="U330" s="8">
        <v>0.72908085660999999</v>
      </c>
      <c r="V330" s="1" t="s">
        <v>26</v>
      </c>
    </row>
    <row r="331" spans="1:22" x14ac:dyDescent="0.35">
      <c r="A331">
        <v>2024</v>
      </c>
      <c r="B331" s="1" t="s">
        <v>19</v>
      </c>
      <c r="C331" s="1" t="s">
        <v>626</v>
      </c>
      <c r="D331" s="1" t="s">
        <v>64</v>
      </c>
      <c r="E331" s="1" t="s">
        <v>64</v>
      </c>
      <c r="F331" s="1" t="s">
        <v>64</v>
      </c>
      <c r="G331" s="1" t="s">
        <v>64</v>
      </c>
      <c r="H331" s="1" t="s">
        <v>64</v>
      </c>
      <c r="I331" s="1" t="s">
        <v>64</v>
      </c>
      <c r="J331">
        <v>1227560</v>
      </c>
      <c r="K331">
        <v>1221748</v>
      </c>
      <c r="L331">
        <v>4330</v>
      </c>
      <c r="M331" s="9">
        <v>3.5441023844999999E-3</v>
      </c>
      <c r="N331">
        <v>506247</v>
      </c>
      <c r="O331" s="9">
        <v>0.41436286369999997</v>
      </c>
      <c r="P331">
        <v>510747</v>
      </c>
      <c r="Q331" s="9">
        <v>0.41804611098</v>
      </c>
      <c r="R331">
        <f>Telengana_Results_2024[[#This Row],[BJP votes]]-Telengana_Results_2024[[#This Row],[Max Votes Other Than BJP]]</f>
        <v>4500</v>
      </c>
      <c r="S331" s="10">
        <f>Telengana_Results_2024[[#This Row],[BJP vote share]]-Telengana_Results_2024[[#This Row],[Max Vote share other than bjp ]]</f>
        <v>3.6832472800000238E-3</v>
      </c>
      <c r="T331">
        <v>1683709</v>
      </c>
      <c r="U331" s="8">
        <v>0.72908085660999999</v>
      </c>
      <c r="V331" s="1" t="s">
        <v>26</v>
      </c>
    </row>
    <row r="332" spans="1:22" x14ac:dyDescent="0.35">
      <c r="A332">
        <v>2024</v>
      </c>
      <c r="B332" s="1" t="s">
        <v>19</v>
      </c>
      <c r="C332" s="1" t="s">
        <v>626</v>
      </c>
      <c r="D332" s="1" t="s">
        <v>1179</v>
      </c>
      <c r="E332" s="1" t="s">
        <v>21</v>
      </c>
      <c r="F332" s="1" t="s">
        <v>52</v>
      </c>
      <c r="G332" s="1" t="s">
        <v>112</v>
      </c>
      <c r="H332" s="1" t="s">
        <v>53</v>
      </c>
      <c r="I332" s="1" t="s">
        <v>54</v>
      </c>
      <c r="J332">
        <v>1227560</v>
      </c>
      <c r="K332">
        <v>1221748</v>
      </c>
      <c r="L332">
        <v>4249</v>
      </c>
      <c r="M332" s="9">
        <v>3.4778039333999999E-3</v>
      </c>
      <c r="N332">
        <v>506247</v>
      </c>
      <c r="O332" s="9">
        <v>0.41436286369999997</v>
      </c>
      <c r="P332">
        <v>510747</v>
      </c>
      <c r="Q332" s="9">
        <v>0.41804611098</v>
      </c>
      <c r="R332">
        <f>Telengana_Results_2024[[#This Row],[BJP votes]]-Telengana_Results_2024[[#This Row],[Max Votes Other Than BJP]]</f>
        <v>4500</v>
      </c>
      <c r="S332" s="10">
        <f>Telengana_Results_2024[[#This Row],[BJP vote share]]-Telengana_Results_2024[[#This Row],[Max Vote share other than bjp ]]</f>
        <v>3.6832472800000238E-3</v>
      </c>
      <c r="T332">
        <v>1683709</v>
      </c>
      <c r="U332" s="8">
        <v>0.72908085660999999</v>
      </c>
      <c r="V332" s="1" t="s">
        <v>26</v>
      </c>
    </row>
    <row r="333" spans="1:22" x14ac:dyDescent="0.35">
      <c r="A333">
        <v>2024</v>
      </c>
      <c r="B333" s="1" t="s">
        <v>19</v>
      </c>
      <c r="C333" s="1" t="s">
        <v>626</v>
      </c>
      <c r="D333" s="1" t="s">
        <v>1180</v>
      </c>
      <c r="E333" s="1" t="s">
        <v>21</v>
      </c>
      <c r="F333" s="1" t="s">
        <v>265</v>
      </c>
      <c r="G333" s="1" t="s">
        <v>112</v>
      </c>
      <c r="H333" s="1" t="s">
        <v>53</v>
      </c>
      <c r="I333" s="1" t="s">
        <v>820</v>
      </c>
      <c r="J333">
        <v>1227560</v>
      </c>
      <c r="K333">
        <v>1221748</v>
      </c>
      <c r="L333">
        <v>3815</v>
      </c>
      <c r="M333" s="9">
        <v>3.1225751955000001E-3</v>
      </c>
      <c r="N333">
        <v>506247</v>
      </c>
      <c r="O333" s="9">
        <v>0.41436286369999997</v>
      </c>
      <c r="P333">
        <v>510747</v>
      </c>
      <c r="Q333" s="9">
        <v>0.41804611098</v>
      </c>
      <c r="R333">
        <f>Telengana_Results_2024[[#This Row],[BJP votes]]-Telengana_Results_2024[[#This Row],[Max Votes Other Than BJP]]</f>
        <v>4500</v>
      </c>
      <c r="S333" s="10">
        <f>Telengana_Results_2024[[#This Row],[BJP vote share]]-Telengana_Results_2024[[#This Row],[Max Vote share other than bjp ]]</f>
        <v>3.6832472800000238E-3</v>
      </c>
      <c r="T333">
        <v>1683709</v>
      </c>
      <c r="U333" s="8">
        <v>0.72908085660999999</v>
      </c>
      <c r="V333" s="1" t="s">
        <v>26</v>
      </c>
    </row>
    <row r="334" spans="1:22" x14ac:dyDescent="0.35">
      <c r="A334">
        <v>2024</v>
      </c>
      <c r="B334" s="1" t="s">
        <v>19</v>
      </c>
      <c r="C334" s="1" t="s">
        <v>626</v>
      </c>
      <c r="D334" s="1" t="s">
        <v>1181</v>
      </c>
      <c r="E334" s="1" t="s">
        <v>21</v>
      </c>
      <c r="F334" s="1" t="s">
        <v>75</v>
      </c>
      <c r="G334" s="1" t="s">
        <v>112</v>
      </c>
      <c r="H334" s="1" t="s">
        <v>53</v>
      </c>
      <c r="I334" s="1" t="s">
        <v>133</v>
      </c>
      <c r="J334">
        <v>1227560</v>
      </c>
      <c r="K334">
        <v>1221748</v>
      </c>
      <c r="L334">
        <v>3451</v>
      </c>
      <c r="M334" s="9">
        <v>2.8246414154000001E-3</v>
      </c>
      <c r="N334">
        <v>506247</v>
      </c>
      <c r="O334" s="9">
        <v>0.41436286369999997</v>
      </c>
      <c r="P334">
        <v>510747</v>
      </c>
      <c r="Q334" s="9">
        <v>0.41804611098</v>
      </c>
      <c r="R334">
        <f>Telengana_Results_2024[[#This Row],[BJP votes]]-Telengana_Results_2024[[#This Row],[Max Votes Other Than BJP]]</f>
        <v>4500</v>
      </c>
      <c r="S334" s="10">
        <f>Telengana_Results_2024[[#This Row],[BJP vote share]]-Telengana_Results_2024[[#This Row],[Max Vote share other than bjp ]]</f>
        <v>3.6832472800000238E-3</v>
      </c>
      <c r="T334">
        <v>1683709</v>
      </c>
      <c r="U334" s="8">
        <v>0.72908085660999999</v>
      </c>
      <c r="V334" s="1" t="s">
        <v>26</v>
      </c>
    </row>
    <row r="335" spans="1:22" x14ac:dyDescent="0.35">
      <c r="A335">
        <v>2024</v>
      </c>
      <c r="B335" s="1" t="s">
        <v>19</v>
      </c>
      <c r="C335" s="1" t="s">
        <v>626</v>
      </c>
      <c r="D335" s="1" t="s">
        <v>1182</v>
      </c>
      <c r="E335" s="1" t="s">
        <v>21</v>
      </c>
      <c r="F335" s="1" t="s">
        <v>120</v>
      </c>
      <c r="G335" s="1" t="s">
        <v>112</v>
      </c>
      <c r="H335" s="1" t="s">
        <v>53</v>
      </c>
      <c r="I335" s="1" t="s">
        <v>818</v>
      </c>
      <c r="J335">
        <v>1227560</v>
      </c>
      <c r="K335">
        <v>1221748</v>
      </c>
      <c r="L335">
        <v>3225</v>
      </c>
      <c r="M335" s="9">
        <v>2.6396605518999999E-3</v>
      </c>
      <c r="N335">
        <v>506247</v>
      </c>
      <c r="O335" s="9">
        <v>0.41436286369999997</v>
      </c>
      <c r="P335">
        <v>510747</v>
      </c>
      <c r="Q335" s="9">
        <v>0.41804611098</v>
      </c>
      <c r="R335">
        <f>Telengana_Results_2024[[#This Row],[BJP votes]]-Telengana_Results_2024[[#This Row],[Max Votes Other Than BJP]]</f>
        <v>4500</v>
      </c>
      <c r="S335" s="10">
        <f>Telengana_Results_2024[[#This Row],[BJP vote share]]-Telengana_Results_2024[[#This Row],[Max Vote share other than bjp ]]</f>
        <v>3.6832472800000238E-3</v>
      </c>
      <c r="T335">
        <v>1683709</v>
      </c>
      <c r="U335" s="8">
        <v>0.72908085660999999</v>
      </c>
      <c r="V335" s="1" t="s">
        <v>26</v>
      </c>
    </row>
    <row r="336" spans="1:22" x14ac:dyDescent="0.35">
      <c r="A336">
        <v>2024</v>
      </c>
      <c r="B336" s="1" t="s">
        <v>19</v>
      </c>
      <c r="C336" s="1" t="s">
        <v>626</v>
      </c>
      <c r="D336" s="1" t="s">
        <v>1183</v>
      </c>
      <c r="E336" s="1" t="s">
        <v>21</v>
      </c>
      <c r="F336" s="1" t="s">
        <v>183</v>
      </c>
      <c r="G336" s="1" t="s">
        <v>112</v>
      </c>
      <c r="H336" s="1" t="s">
        <v>72</v>
      </c>
      <c r="I336" s="1" t="s">
        <v>73</v>
      </c>
      <c r="J336">
        <v>1227560</v>
      </c>
      <c r="K336">
        <v>1221748</v>
      </c>
      <c r="L336">
        <v>3077</v>
      </c>
      <c r="M336" s="9">
        <v>2.5185226413000001E-3</v>
      </c>
      <c r="N336">
        <v>506247</v>
      </c>
      <c r="O336" s="9">
        <v>0.41436286369999997</v>
      </c>
      <c r="P336">
        <v>510747</v>
      </c>
      <c r="Q336" s="9">
        <v>0.41804611098</v>
      </c>
      <c r="R336">
        <f>Telengana_Results_2024[[#This Row],[BJP votes]]-Telengana_Results_2024[[#This Row],[Max Votes Other Than BJP]]</f>
        <v>4500</v>
      </c>
      <c r="S336" s="10">
        <f>Telengana_Results_2024[[#This Row],[BJP vote share]]-Telengana_Results_2024[[#This Row],[Max Vote share other than bjp ]]</f>
        <v>3.6832472800000238E-3</v>
      </c>
      <c r="T336">
        <v>1683709</v>
      </c>
      <c r="U336" s="8">
        <v>0.72908085660999999</v>
      </c>
      <c r="V336" s="1" t="s">
        <v>26</v>
      </c>
    </row>
    <row r="337" spans="1:22" x14ac:dyDescent="0.35">
      <c r="A337">
        <v>2024</v>
      </c>
      <c r="B337" s="1" t="s">
        <v>19</v>
      </c>
      <c r="C337" s="1" t="s">
        <v>626</v>
      </c>
      <c r="D337" s="1" t="s">
        <v>1184</v>
      </c>
      <c r="E337" s="1" t="s">
        <v>35</v>
      </c>
      <c r="F337" s="1" t="s">
        <v>160</v>
      </c>
      <c r="G337" s="1" t="s">
        <v>112</v>
      </c>
      <c r="H337" s="1" t="s">
        <v>53</v>
      </c>
      <c r="I337" s="1" t="s">
        <v>57</v>
      </c>
      <c r="J337">
        <v>1227560</v>
      </c>
      <c r="K337">
        <v>1221748</v>
      </c>
      <c r="L337">
        <v>2748</v>
      </c>
      <c r="M337" s="9">
        <v>2.2492363401000002E-3</v>
      </c>
      <c r="N337">
        <v>506247</v>
      </c>
      <c r="O337" s="9">
        <v>0.41436286369999997</v>
      </c>
      <c r="P337">
        <v>510747</v>
      </c>
      <c r="Q337" s="9">
        <v>0.41804611098</v>
      </c>
      <c r="R337">
        <f>Telengana_Results_2024[[#This Row],[BJP votes]]-Telengana_Results_2024[[#This Row],[Max Votes Other Than BJP]]</f>
        <v>4500</v>
      </c>
      <c r="S337" s="10">
        <f>Telengana_Results_2024[[#This Row],[BJP vote share]]-Telengana_Results_2024[[#This Row],[Max Vote share other than bjp ]]</f>
        <v>3.6832472800000238E-3</v>
      </c>
      <c r="T337">
        <v>1683709</v>
      </c>
      <c r="U337" s="8">
        <v>0.72908085660999999</v>
      </c>
      <c r="V337" s="1" t="s">
        <v>26</v>
      </c>
    </row>
    <row r="338" spans="1:22" x14ac:dyDescent="0.35">
      <c r="A338">
        <v>2024</v>
      </c>
      <c r="B338" s="1" t="s">
        <v>19</v>
      </c>
      <c r="C338" s="1" t="s">
        <v>626</v>
      </c>
      <c r="D338" s="1" t="s">
        <v>1185</v>
      </c>
      <c r="E338" s="1" t="s">
        <v>21</v>
      </c>
      <c r="F338" s="1" t="s">
        <v>125</v>
      </c>
      <c r="G338" s="1" t="s">
        <v>67</v>
      </c>
      <c r="H338" s="1" t="s">
        <v>798</v>
      </c>
      <c r="I338" s="1" t="s">
        <v>749</v>
      </c>
      <c r="J338">
        <v>1227560</v>
      </c>
      <c r="K338">
        <v>1221748</v>
      </c>
      <c r="L338">
        <v>2618</v>
      </c>
      <c r="M338" s="9">
        <v>2.1428314186000001E-3</v>
      </c>
      <c r="N338">
        <v>506247</v>
      </c>
      <c r="O338" s="9">
        <v>0.41436286369999997</v>
      </c>
      <c r="P338">
        <v>510747</v>
      </c>
      <c r="Q338" s="9">
        <v>0.41804611098</v>
      </c>
      <c r="R338">
        <f>Telengana_Results_2024[[#This Row],[BJP votes]]-Telengana_Results_2024[[#This Row],[Max Votes Other Than BJP]]</f>
        <v>4500</v>
      </c>
      <c r="S338" s="10">
        <f>Telengana_Results_2024[[#This Row],[BJP vote share]]-Telengana_Results_2024[[#This Row],[Max Vote share other than bjp ]]</f>
        <v>3.6832472800000238E-3</v>
      </c>
      <c r="T338">
        <v>1683709</v>
      </c>
      <c r="U338" s="8">
        <v>0.72908085660999999</v>
      </c>
      <c r="V338" s="1" t="s">
        <v>26</v>
      </c>
    </row>
    <row r="339" spans="1:22" x14ac:dyDescent="0.35">
      <c r="A339">
        <v>2024</v>
      </c>
      <c r="B339" s="1" t="s">
        <v>19</v>
      </c>
      <c r="C339" s="1" t="s">
        <v>626</v>
      </c>
      <c r="D339" s="1" t="s">
        <v>1186</v>
      </c>
      <c r="E339" s="1" t="s">
        <v>21</v>
      </c>
      <c r="F339" s="1" t="s">
        <v>117</v>
      </c>
      <c r="G339" s="1" t="s">
        <v>112</v>
      </c>
      <c r="H339" s="1" t="s">
        <v>53</v>
      </c>
      <c r="I339" s="1" t="s">
        <v>897</v>
      </c>
      <c r="J339">
        <v>1227560</v>
      </c>
      <c r="K339">
        <v>1221748</v>
      </c>
      <c r="L339">
        <v>2214</v>
      </c>
      <c r="M339" s="9">
        <v>1.8121576626E-3</v>
      </c>
      <c r="N339">
        <v>506247</v>
      </c>
      <c r="O339" s="9">
        <v>0.41436286369999997</v>
      </c>
      <c r="P339">
        <v>510747</v>
      </c>
      <c r="Q339" s="9">
        <v>0.41804611098</v>
      </c>
      <c r="R339">
        <f>Telengana_Results_2024[[#This Row],[BJP votes]]-Telengana_Results_2024[[#This Row],[Max Votes Other Than BJP]]</f>
        <v>4500</v>
      </c>
      <c r="S339" s="10">
        <f>Telengana_Results_2024[[#This Row],[BJP vote share]]-Telengana_Results_2024[[#This Row],[Max Vote share other than bjp ]]</f>
        <v>3.6832472800000238E-3</v>
      </c>
      <c r="T339">
        <v>1683709</v>
      </c>
      <c r="U339" s="8">
        <v>0.72908085660999999</v>
      </c>
      <c r="V339" s="1" t="s">
        <v>26</v>
      </c>
    </row>
    <row r="340" spans="1:22" x14ac:dyDescent="0.35">
      <c r="A340">
        <v>2024</v>
      </c>
      <c r="B340" s="1" t="s">
        <v>19</v>
      </c>
      <c r="C340" s="1" t="s">
        <v>626</v>
      </c>
      <c r="D340" s="1" t="s">
        <v>1187</v>
      </c>
      <c r="E340" s="1" t="s">
        <v>21</v>
      </c>
      <c r="F340" s="1" t="s">
        <v>71</v>
      </c>
      <c r="G340" s="1" t="s">
        <v>112</v>
      </c>
      <c r="H340" s="1" t="s">
        <v>53</v>
      </c>
      <c r="I340" s="1" t="s">
        <v>190</v>
      </c>
      <c r="J340">
        <v>1227560</v>
      </c>
      <c r="K340">
        <v>1221748</v>
      </c>
      <c r="L340">
        <v>1727</v>
      </c>
      <c r="M340" s="9">
        <v>1.4135484568000001E-3</v>
      </c>
      <c r="N340">
        <v>506247</v>
      </c>
      <c r="O340" s="9">
        <v>0.41436286369999997</v>
      </c>
      <c r="P340">
        <v>510747</v>
      </c>
      <c r="Q340" s="9">
        <v>0.41804611098</v>
      </c>
      <c r="R340">
        <f>Telengana_Results_2024[[#This Row],[BJP votes]]-Telengana_Results_2024[[#This Row],[Max Votes Other Than BJP]]</f>
        <v>4500</v>
      </c>
      <c r="S340" s="10">
        <f>Telengana_Results_2024[[#This Row],[BJP vote share]]-Telengana_Results_2024[[#This Row],[Max Vote share other than bjp ]]</f>
        <v>3.6832472800000238E-3</v>
      </c>
      <c r="T340">
        <v>1683709</v>
      </c>
      <c r="U340" s="8">
        <v>0.72908085660999999</v>
      </c>
      <c r="V340" s="1" t="s">
        <v>26</v>
      </c>
    </row>
    <row r="341" spans="1:22" x14ac:dyDescent="0.35">
      <c r="A341">
        <v>2024</v>
      </c>
      <c r="B341" s="1" t="s">
        <v>19</v>
      </c>
      <c r="C341" s="1" t="s">
        <v>626</v>
      </c>
      <c r="D341" s="1" t="s">
        <v>1188</v>
      </c>
      <c r="E341" s="1" t="s">
        <v>21</v>
      </c>
      <c r="F341" s="1" t="s">
        <v>87</v>
      </c>
      <c r="G341" s="1" t="s">
        <v>67</v>
      </c>
      <c r="H341" s="1" t="s">
        <v>53</v>
      </c>
      <c r="I341" s="1" t="s">
        <v>796</v>
      </c>
      <c r="J341">
        <v>1227560</v>
      </c>
      <c r="K341">
        <v>1221748</v>
      </c>
      <c r="L341">
        <v>1675</v>
      </c>
      <c r="M341" s="9">
        <v>1.3709864882E-3</v>
      </c>
      <c r="N341">
        <v>506247</v>
      </c>
      <c r="O341" s="9">
        <v>0.41436286369999997</v>
      </c>
      <c r="P341">
        <v>510747</v>
      </c>
      <c r="Q341" s="9">
        <v>0.41804611098</v>
      </c>
      <c r="R341">
        <f>Telengana_Results_2024[[#This Row],[BJP votes]]-Telengana_Results_2024[[#This Row],[Max Votes Other Than BJP]]</f>
        <v>4500</v>
      </c>
      <c r="S341" s="10">
        <f>Telengana_Results_2024[[#This Row],[BJP vote share]]-Telengana_Results_2024[[#This Row],[Max Vote share other than bjp ]]</f>
        <v>3.6832472800000238E-3</v>
      </c>
      <c r="T341">
        <v>1683709</v>
      </c>
      <c r="U341" s="8">
        <v>0.72908085660999999</v>
      </c>
      <c r="V341" s="1" t="s">
        <v>26</v>
      </c>
    </row>
    <row r="342" spans="1:22" x14ac:dyDescent="0.35">
      <c r="A342">
        <v>2024</v>
      </c>
      <c r="B342" s="1" t="s">
        <v>19</v>
      </c>
      <c r="C342" s="1" t="s">
        <v>626</v>
      </c>
      <c r="D342" s="1" t="s">
        <v>1189</v>
      </c>
      <c r="E342" s="1" t="s">
        <v>35</v>
      </c>
      <c r="F342" s="1" t="s">
        <v>95</v>
      </c>
      <c r="G342" s="1" t="s">
        <v>67</v>
      </c>
      <c r="H342" s="1" t="s">
        <v>53</v>
      </c>
      <c r="I342" s="1" t="s">
        <v>284</v>
      </c>
      <c r="J342">
        <v>1227560</v>
      </c>
      <c r="K342">
        <v>1221748</v>
      </c>
      <c r="L342">
        <v>1565</v>
      </c>
      <c r="M342" s="9">
        <v>1.2809515546999999E-3</v>
      </c>
      <c r="N342">
        <v>506247</v>
      </c>
      <c r="O342" s="9">
        <v>0.41436286369999997</v>
      </c>
      <c r="P342">
        <v>510747</v>
      </c>
      <c r="Q342" s="9">
        <v>0.41804611098</v>
      </c>
      <c r="R342">
        <f>Telengana_Results_2024[[#This Row],[BJP votes]]-Telengana_Results_2024[[#This Row],[Max Votes Other Than BJP]]</f>
        <v>4500</v>
      </c>
      <c r="S342" s="10">
        <f>Telengana_Results_2024[[#This Row],[BJP vote share]]-Telengana_Results_2024[[#This Row],[Max Vote share other than bjp ]]</f>
        <v>3.6832472800000238E-3</v>
      </c>
      <c r="T342">
        <v>1683709</v>
      </c>
      <c r="U342" s="8">
        <v>0.72908085660999999</v>
      </c>
      <c r="V342" s="1" t="s">
        <v>26</v>
      </c>
    </row>
    <row r="343" spans="1:22" x14ac:dyDescent="0.35">
      <c r="A343">
        <v>2024</v>
      </c>
      <c r="B343" s="1" t="s">
        <v>19</v>
      </c>
      <c r="C343" s="1" t="s">
        <v>626</v>
      </c>
      <c r="D343" s="1" t="s">
        <v>1190</v>
      </c>
      <c r="E343" s="1" t="s">
        <v>21</v>
      </c>
      <c r="F343" s="1" t="s">
        <v>22</v>
      </c>
      <c r="G343" s="1" t="s">
        <v>112</v>
      </c>
      <c r="H343" s="1" t="s">
        <v>536</v>
      </c>
      <c r="I343" s="1" t="s">
        <v>823</v>
      </c>
      <c r="J343">
        <v>1227560</v>
      </c>
      <c r="K343">
        <v>1221748</v>
      </c>
      <c r="L343">
        <v>1085</v>
      </c>
      <c r="M343" s="9">
        <v>8.8807184460000001E-4</v>
      </c>
      <c r="N343">
        <v>506247</v>
      </c>
      <c r="O343" s="9">
        <v>0.41436286369999997</v>
      </c>
      <c r="P343">
        <v>510747</v>
      </c>
      <c r="Q343" s="9">
        <v>0.41804611098</v>
      </c>
      <c r="R343">
        <f>Telengana_Results_2024[[#This Row],[BJP votes]]-Telengana_Results_2024[[#This Row],[Max Votes Other Than BJP]]</f>
        <v>4500</v>
      </c>
      <c r="S343" s="10">
        <f>Telengana_Results_2024[[#This Row],[BJP vote share]]-Telengana_Results_2024[[#This Row],[Max Vote share other than bjp ]]</f>
        <v>3.6832472800000238E-3</v>
      </c>
      <c r="T343">
        <v>1683709</v>
      </c>
      <c r="U343" s="8">
        <v>0.72908085660999999</v>
      </c>
      <c r="V343" s="1" t="s">
        <v>26</v>
      </c>
    </row>
    <row r="344" spans="1:22" x14ac:dyDescent="0.35">
      <c r="A344">
        <v>2024</v>
      </c>
      <c r="B344" s="1" t="s">
        <v>19</v>
      </c>
      <c r="C344" s="1" t="s">
        <v>626</v>
      </c>
      <c r="D344" s="1" t="s">
        <v>1191</v>
      </c>
      <c r="E344" s="1" t="s">
        <v>21</v>
      </c>
      <c r="F344" s="1" t="s">
        <v>205</v>
      </c>
      <c r="G344" s="1" t="s">
        <v>23</v>
      </c>
      <c r="H344" s="1" t="s">
        <v>53</v>
      </c>
      <c r="I344" s="1" t="s">
        <v>1192</v>
      </c>
      <c r="J344">
        <v>1227560</v>
      </c>
      <c r="K344">
        <v>1221748</v>
      </c>
      <c r="L344">
        <v>1027</v>
      </c>
      <c r="M344" s="9">
        <v>8.4059887963999996E-4</v>
      </c>
      <c r="N344">
        <v>506247</v>
      </c>
      <c r="O344" s="9">
        <v>0.41436286369999997</v>
      </c>
      <c r="P344">
        <v>510747</v>
      </c>
      <c r="Q344" s="9">
        <v>0.41804611098</v>
      </c>
      <c r="R344">
        <f>Telengana_Results_2024[[#This Row],[BJP votes]]-Telengana_Results_2024[[#This Row],[Max Votes Other Than BJP]]</f>
        <v>4500</v>
      </c>
      <c r="S344" s="10">
        <f>Telengana_Results_2024[[#This Row],[BJP vote share]]-Telengana_Results_2024[[#This Row],[Max Vote share other than bjp ]]</f>
        <v>3.6832472800000238E-3</v>
      </c>
      <c r="T344">
        <v>1683709</v>
      </c>
      <c r="U344" s="8">
        <v>0.72908085660999999</v>
      </c>
      <c r="V344" s="1" t="s">
        <v>26</v>
      </c>
    </row>
    <row r="345" spans="1:22" x14ac:dyDescent="0.35">
      <c r="A345">
        <v>2024</v>
      </c>
      <c r="B345" s="1" t="s">
        <v>19</v>
      </c>
      <c r="C345" s="1" t="s">
        <v>626</v>
      </c>
      <c r="D345" s="1" t="s">
        <v>1193</v>
      </c>
      <c r="E345" s="1" t="s">
        <v>21</v>
      </c>
      <c r="F345" s="1" t="s">
        <v>44</v>
      </c>
      <c r="G345" s="1" t="s">
        <v>112</v>
      </c>
      <c r="H345" s="1" t="s">
        <v>122</v>
      </c>
      <c r="I345" s="1" t="s">
        <v>948</v>
      </c>
      <c r="J345">
        <v>1227560</v>
      </c>
      <c r="K345">
        <v>1221748</v>
      </c>
      <c r="L345">
        <v>1020</v>
      </c>
      <c r="M345" s="9">
        <v>8.3486938387000004E-4</v>
      </c>
      <c r="N345">
        <v>506247</v>
      </c>
      <c r="O345" s="9">
        <v>0.41436286369999997</v>
      </c>
      <c r="P345">
        <v>510747</v>
      </c>
      <c r="Q345" s="9">
        <v>0.41804611098</v>
      </c>
      <c r="R345">
        <f>Telengana_Results_2024[[#This Row],[BJP votes]]-Telengana_Results_2024[[#This Row],[Max Votes Other Than BJP]]</f>
        <v>4500</v>
      </c>
      <c r="S345" s="10">
        <f>Telengana_Results_2024[[#This Row],[BJP vote share]]-Telengana_Results_2024[[#This Row],[Max Vote share other than bjp ]]</f>
        <v>3.6832472800000238E-3</v>
      </c>
      <c r="T345">
        <v>1683709</v>
      </c>
      <c r="U345" s="8">
        <v>0.72908085660999999</v>
      </c>
      <c r="V345" s="1" t="s">
        <v>26</v>
      </c>
    </row>
    <row r="346" spans="1:22" x14ac:dyDescent="0.35">
      <c r="A346">
        <v>2024</v>
      </c>
      <c r="B346" s="1" t="s">
        <v>19</v>
      </c>
      <c r="C346" s="1" t="s">
        <v>626</v>
      </c>
      <c r="D346" s="1" t="s">
        <v>1194</v>
      </c>
      <c r="E346" s="1" t="s">
        <v>21</v>
      </c>
      <c r="F346" s="1" t="s">
        <v>379</v>
      </c>
      <c r="G346" s="1" t="s">
        <v>112</v>
      </c>
      <c r="H346" s="1" t="s">
        <v>53</v>
      </c>
      <c r="I346" s="1" t="s">
        <v>297</v>
      </c>
      <c r="J346">
        <v>1227560</v>
      </c>
      <c r="K346">
        <v>1221748</v>
      </c>
      <c r="L346">
        <v>985</v>
      </c>
      <c r="M346" s="9">
        <v>8.0622190500999997E-4</v>
      </c>
      <c r="N346">
        <v>506247</v>
      </c>
      <c r="O346" s="9">
        <v>0.41436286369999997</v>
      </c>
      <c r="P346">
        <v>510747</v>
      </c>
      <c r="Q346" s="9">
        <v>0.41804611098</v>
      </c>
      <c r="R346">
        <f>Telengana_Results_2024[[#This Row],[BJP votes]]-Telengana_Results_2024[[#This Row],[Max Votes Other Than BJP]]</f>
        <v>4500</v>
      </c>
      <c r="S346" s="10">
        <f>Telengana_Results_2024[[#This Row],[BJP vote share]]-Telengana_Results_2024[[#This Row],[Max Vote share other than bjp ]]</f>
        <v>3.6832472800000238E-3</v>
      </c>
      <c r="T346">
        <v>1683709</v>
      </c>
      <c r="U346" s="8">
        <v>0.72908085660999999</v>
      </c>
      <c r="V346" s="1" t="s">
        <v>26</v>
      </c>
    </row>
    <row r="347" spans="1:22" x14ac:dyDescent="0.35">
      <c r="A347">
        <v>2024</v>
      </c>
      <c r="B347" s="1" t="s">
        <v>19</v>
      </c>
      <c r="C347" s="1" t="s">
        <v>626</v>
      </c>
      <c r="D347" s="1" t="s">
        <v>1195</v>
      </c>
      <c r="E347" s="1" t="s">
        <v>21</v>
      </c>
      <c r="F347" s="1" t="s">
        <v>205</v>
      </c>
      <c r="G347" s="1" t="s">
        <v>112</v>
      </c>
      <c r="H347" s="1" t="s">
        <v>53</v>
      </c>
      <c r="I347" s="1" t="s">
        <v>987</v>
      </c>
      <c r="J347">
        <v>1227560</v>
      </c>
      <c r="K347">
        <v>1221748</v>
      </c>
      <c r="L347">
        <v>952</v>
      </c>
      <c r="M347" s="9">
        <v>7.7921142493999999E-4</v>
      </c>
      <c r="N347">
        <v>506247</v>
      </c>
      <c r="O347" s="9">
        <v>0.41436286369999997</v>
      </c>
      <c r="P347">
        <v>510747</v>
      </c>
      <c r="Q347" s="9">
        <v>0.41804611098</v>
      </c>
      <c r="R347">
        <f>Telengana_Results_2024[[#This Row],[BJP votes]]-Telengana_Results_2024[[#This Row],[Max Votes Other Than BJP]]</f>
        <v>4500</v>
      </c>
      <c r="S347" s="10">
        <f>Telengana_Results_2024[[#This Row],[BJP vote share]]-Telengana_Results_2024[[#This Row],[Max Vote share other than bjp ]]</f>
        <v>3.6832472800000238E-3</v>
      </c>
      <c r="T347">
        <v>1683709</v>
      </c>
      <c r="U347" s="8">
        <v>0.72908085660999999</v>
      </c>
      <c r="V347" s="1" t="s">
        <v>26</v>
      </c>
    </row>
    <row r="348" spans="1:22" x14ac:dyDescent="0.35">
      <c r="A348">
        <v>2024</v>
      </c>
      <c r="B348" s="1" t="s">
        <v>19</v>
      </c>
      <c r="C348" s="1" t="s">
        <v>626</v>
      </c>
      <c r="D348" s="1" t="s">
        <v>1196</v>
      </c>
      <c r="E348" s="1" t="s">
        <v>35</v>
      </c>
      <c r="F348" s="1" t="s">
        <v>106</v>
      </c>
      <c r="G348" s="1" t="s">
        <v>23</v>
      </c>
      <c r="H348" s="1" t="s">
        <v>53</v>
      </c>
      <c r="I348" s="1" t="s">
        <v>427</v>
      </c>
      <c r="J348">
        <v>1227560</v>
      </c>
      <c r="K348">
        <v>1221748</v>
      </c>
      <c r="L348">
        <v>596</v>
      </c>
      <c r="M348" s="9">
        <v>4.8782563997999998E-4</v>
      </c>
      <c r="N348">
        <v>506247</v>
      </c>
      <c r="O348" s="9">
        <v>0.41436286369999997</v>
      </c>
      <c r="P348">
        <v>510747</v>
      </c>
      <c r="Q348" s="9">
        <v>0.41804611098</v>
      </c>
      <c r="R348">
        <f>Telengana_Results_2024[[#This Row],[BJP votes]]-Telengana_Results_2024[[#This Row],[Max Votes Other Than BJP]]</f>
        <v>4500</v>
      </c>
      <c r="S348" s="10">
        <f>Telengana_Results_2024[[#This Row],[BJP vote share]]-Telengana_Results_2024[[#This Row],[Max Vote share other than bjp ]]</f>
        <v>3.6832472800000238E-3</v>
      </c>
      <c r="T348">
        <v>1683709</v>
      </c>
      <c r="U348" s="8">
        <v>0.72908085660999999</v>
      </c>
      <c r="V348" s="1" t="s">
        <v>26</v>
      </c>
    </row>
    <row r="349" spans="1:22" x14ac:dyDescent="0.35">
      <c r="A349">
        <v>2024</v>
      </c>
      <c r="B349" s="1" t="s">
        <v>19</v>
      </c>
      <c r="C349" s="1" t="s">
        <v>626</v>
      </c>
      <c r="D349" s="1" t="s">
        <v>1197</v>
      </c>
      <c r="E349" s="1" t="s">
        <v>21</v>
      </c>
      <c r="F349" s="1" t="s">
        <v>703</v>
      </c>
      <c r="G349" s="1" t="s">
        <v>112</v>
      </c>
      <c r="H349" s="1" t="s">
        <v>150</v>
      </c>
      <c r="I349" s="1" t="s">
        <v>151</v>
      </c>
      <c r="J349">
        <v>1227560</v>
      </c>
      <c r="K349">
        <v>1221748</v>
      </c>
      <c r="L349">
        <v>503</v>
      </c>
      <c r="M349" s="9">
        <v>4.1170519615999998E-4</v>
      </c>
      <c r="N349">
        <v>506247</v>
      </c>
      <c r="O349" s="9">
        <v>0.41436286369999997</v>
      </c>
      <c r="P349">
        <v>510747</v>
      </c>
      <c r="Q349" s="9">
        <v>0.41804611098</v>
      </c>
      <c r="R349">
        <f>Telengana_Results_2024[[#This Row],[BJP votes]]-Telengana_Results_2024[[#This Row],[Max Votes Other Than BJP]]</f>
        <v>4500</v>
      </c>
      <c r="S349" s="10">
        <f>Telengana_Results_2024[[#This Row],[BJP vote share]]-Telengana_Results_2024[[#This Row],[Max Vote share other than bjp ]]</f>
        <v>3.6832472800000238E-3</v>
      </c>
      <c r="T349">
        <v>1683709</v>
      </c>
      <c r="U349" s="8">
        <v>0.72908085660999999</v>
      </c>
      <c r="V349" s="1" t="s">
        <v>26</v>
      </c>
    </row>
    <row r="350" spans="1:22" x14ac:dyDescent="0.35">
      <c r="A350">
        <v>2024</v>
      </c>
      <c r="B350" s="1" t="s">
        <v>19</v>
      </c>
      <c r="C350" s="1" t="s">
        <v>626</v>
      </c>
      <c r="D350" s="1" t="s">
        <v>1198</v>
      </c>
      <c r="E350" s="1" t="s">
        <v>21</v>
      </c>
      <c r="F350" s="1" t="s">
        <v>59</v>
      </c>
      <c r="G350" s="1" t="s">
        <v>67</v>
      </c>
      <c r="H350" s="1" t="s">
        <v>53</v>
      </c>
      <c r="I350" s="1" t="s">
        <v>444</v>
      </c>
      <c r="J350">
        <v>1227560</v>
      </c>
      <c r="K350">
        <v>1221748</v>
      </c>
      <c r="L350">
        <v>438</v>
      </c>
      <c r="M350" s="9">
        <v>3.5850273541999998E-4</v>
      </c>
      <c r="N350">
        <v>506247</v>
      </c>
      <c r="O350" s="9">
        <v>0.41436286369999997</v>
      </c>
      <c r="P350">
        <v>510747</v>
      </c>
      <c r="Q350" s="9">
        <v>0.41804611098</v>
      </c>
      <c r="R350">
        <f>Telengana_Results_2024[[#This Row],[BJP votes]]-Telengana_Results_2024[[#This Row],[Max Votes Other Than BJP]]</f>
        <v>4500</v>
      </c>
      <c r="S350" s="10">
        <f>Telengana_Results_2024[[#This Row],[BJP vote share]]-Telengana_Results_2024[[#This Row],[Max Vote share other than bjp ]]</f>
        <v>3.6832472800000238E-3</v>
      </c>
      <c r="T350">
        <v>1683709</v>
      </c>
      <c r="U350" s="8">
        <v>0.72908085660999999</v>
      </c>
      <c r="V350" s="1" t="s">
        <v>26</v>
      </c>
    </row>
    <row r="351" spans="1:22" x14ac:dyDescent="0.35">
      <c r="A351">
        <v>2024</v>
      </c>
      <c r="B351" s="1" t="s">
        <v>19</v>
      </c>
      <c r="C351" s="1" t="s">
        <v>626</v>
      </c>
      <c r="D351" s="1" t="s">
        <v>1199</v>
      </c>
      <c r="E351" s="1" t="s">
        <v>21</v>
      </c>
      <c r="F351" s="1" t="s">
        <v>120</v>
      </c>
      <c r="G351" s="1" t="s">
        <v>112</v>
      </c>
      <c r="H351" s="1" t="s">
        <v>1001</v>
      </c>
      <c r="I351" s="1" t="s">
        <v>60</v>
      </c>
      <c r="J351">
        <v>1227560</v>
      </c>
      <c r="K351">
        <v>1221748</v>
      </c>
      <c r="L351">
        <v>432</v>
      </c>
      <c r="M351" s="9">
        <v>3.5359173905000001E-4</v>
      </c>
      <c r="N351">
        <v>506247</v>
      </c>
      <c r="O351" s="9">
        <v>0.41436286369999997</v>
      </c>
      <c r="P351">
        <v>510747</v>
      </c>
      <c r="Q351" s="9">
        <v>0.41804611098</v>
      </c>
      <c r="R351">
        <f>Telengana_Results_2024[[#This Row],[BJP votes]]-Telengana_Results_2024[[#This Row],[Max Votes Other Than BJP]]</f>
        <v>4500</v>
      </c>
      <c r="S351" s="10">
        <f>Telengana_Results_2024[[#This Row],[BJP vote share]]-Telengana_Results_2024[[#This Row],[Max Vote share other than bjp ]]</f>
        <v>3.6832472800000238E-3</v>
      </c>
      <c r="T351">
        <v>1683709</v>
      </c>
      <c r="U351" s="8">
        <v>0.72908085660999999</v>
      </c>
      <c r="V351" s="1" t="s">
        <v>26</v>
      </c>
    </row>
    <row r="352" spans="1:22" x14ac:dyDescent="0.35">
      <c r="A352">
        <v>2024</v>
      </c>
      <c r="B352" s="1" t="s">
        <v>19</v>
      </c>
      <c r="C352" s="1" t="s">
        <v>626</v>
      </c>
      <c r="D352" s="1" t="s">
        <v>1200</v>
      </c>
      <c r="E352" s="1" t="s">
        <v>21</v>
      </c>
      <c r="F352" s="1" t="s">
        <v>143</v>
      </c>
      <c r="G352" s="1" t="s">
        <v>112</v>
      </c>
      <c r="H352" s="1" t="s">
        <v>1125</v>
      </c>
      <c r="I352" s="1" t="s">
        <v>167</v>
      </c>
      <c r="J352">
        <v>1227560</v>
      </c>
      <c r="K352">
        <v>1221748</v>
      </c>
      <c r="L352">
        <v>420</v>
      </c>
      <c r="M352" s="9">
        <v>3.437697463E-4</v>
      </c>
      <c r="N352">
        <v>506247</v>
      </c>
      <c r="O352" s="9">
        <v>0.41436286369999997</v>
      </c>
      <c r="P352">
        <v>510747</v>
      </c>
      <c r="Q352" s="9">
        <v>0.41804611098</v>
      </c>
      <c r="R352">
        <f>Telengana_Results_2024[[#This Row],[BJP votes]]-Telengana_Results_2024[[#This Row],[Max Votes Other Than BJP]]</f>
        <v>4500</v>
      </c>
      <c r="S352" s="10">
        <f>Telengana_Results_2024[[#This Row],[BJP vote share]]-Telengana_Results_2024[[#This Row],[Max Vote share other than bjp ]]</f>
        <v>3.6832472800000238E-3</v>
      </c>
      <c r="T352">
        <v>1683709</v>
      </c>
      <c r="U352" s="8">
        <v>0.72908085660999999</v>
      </c>
      <c r="V352" s="1" t="s">
        <v>26</v>
      </c>
    </row>
    <row r="353" spans="1:22" x14ac:dyDescent="0.35">
      <c r="A353">
        <v>2024</v>
      </c>
      <c r="B353" s="1" t="s">
        <v>19</v>
      </c>
      <c r="C353" s="1" t="s">
        <v>626</v>
      </c>
      <c r="D353" s="1" t="s">
        <v>1201</v>
      </c>
      <c r="E353" s="1" t="s">
        <v>21</v>
      </c>
      <c r="F353" s="1" t="s">
        <v>28</v>
      </c>
      <c r="G353" s="1" t="s">
        <v>112</v>
      </c>
      <c r="H353" s="1" t="s">
        <v>53</v>
      </c>
      <c r="I353" s="1" t="s">
        <v>457</v>
      </c>
      <c r="J353">
        <v>1227560</v>
      </c>
      <c r="K353">
        <v>1221748</v>
      </c>
      <c r="L353">
        <v>353</v>
      </c>
      <c r="M353" s="9">
        <v>2.8893028677000001E-4</v>
      </c>
      <c r="N353">
        <v>506247</v>
      </c>
      <c r="O353" s="9">
        <v>0.41436286369999997</v>
      </c>
      <c r="P353">
        <v>510747</v>
      </c>
      <c r="Q353" s="9">
        <v>0.41804611098</v>
      </c>
      <c r="R353">
        <f>Telengana_Results_2024[[#This Row],[BJP votes]]-Telengana_Results_2024[[#This Row],[Max Votes Other Than BJP]]</f>
        <v>4500</v>
      </c>
      <c r="S353" s="10">
        <f>Telengana_Results_2024[[#This Row],[BJP vote share]]-Telengana_Results_2024[[#This Row],[Max Vote share other than bjp ]]</f>
        <v>3.6832472800000238E-3</v>
      </c>
      <c r="T353">
        <v>1683709</v>
      </c>
      <c r="U353" s="8">
        <v>0.72908085660999999</v>
      </c>
      <c r="V353" s="1" t="s">
        <v>26</v>
      </c>
    </row>
    <row r="354" spans="1:22" x14ac:dyDescent="0.35">
      <c r="A354">
        <v>2024</v>
      </c>
      <c r="B354" s="1" t="s">
        <v>19</v>
      </c>
      <c r="C354" s="1" t="s">
        <v>626</v>
      </c>
      <c r="D354" s="1" t="s">
        <v>1202</v>
      </c>
      <c r="E354" s="1" t="s">
        <v>21</v>
      </c>
      <c r="F354" s="1" t="s">
        <v>71</v>
      </c>
      <c r="G354" s="1" t="s">
        <v>112</v>
      </c>
      <c r="H354" s="1" t="s">
        <v>53</v>
      </c>
      <c r="I354" s="1" t="s">
        <v>791</v>
      </c>
      <c r="J354">
        <v>1227560</v>
      </c>
      <c r="K354">
        <v>1221748</v>
      </c>
      <c r="L354">
        <v>264</v>
      </c>
      <c r="M354" s="9">
        <v>2.1608384053000001E-4</v>
      </c>
      <c r="N354">
        <v>506247</v>
      </c>
      <c r="O354" s="9">
        <v>0.41436286369999997</v>
      </c>
      <c r="P354">
        <v>510747</v>
      </c>
      <c r="Q354" s="9">
        <v>0.41804611098</v>
      </c>
      <c r="R354">
        <f>Telengana_Results_2024[[#This Row],[BJP votes]]-Telengana_Results_2024[[#This Row],[Max Votes Other Than BJP]]</f>
        <v>4500</v>
      </c>
      <c r="S354" s="10">
        <f>Telengana_Results_2024[[#This Row],[BJP vote share]]-Telengana_Results_2024[[#This Row],[Max Vote share other than bjp ]]</f>
        <v>3.6832472800000238E-3</v>
      </c>
      <c r="T354">
        <v>1683709</v>
      </c>
      <c r="U354" s="8">
        <v>0.72908085660999999</v>
      </c>
      <c r="V354" s="1" t="s">
        <v>26</v>
      </c>
    </row>
    <row r="355" spans="1:22" x14ac:dyDescent="0.35">
      <c r="A355">
        <v>2024</v>
      </c>
      <c r="B355" s="1" t="s">
        <v>19</v>
      </c>
      <c r="C355" s="1" t="s">
        <v>626</v>
      </c>
      <c r="D355" s="1" t="s">
        <v>1203</v>
      </c>
      <c r="E355" s="1" t="s">
        <v>21</v>
      </c>
      <c r="F355" s="1" t="s">
        <v>44</v>
      </c>
      <c r="G355" s="1" t="s">
        <v>112</v>
      </c>
      <c r="H355" s="1" t="s">
        <v>53</v>
      </c>
      <c r="I355" s="1" t="s">
        <v>380</v>
      </c>
      <c r="J355">
        <v>1227560</v>
      </c>
      <c r="K355">
        <v>1221748</v>
      </c>
      <c r="L355">
        <v>262</v>
      </c>
      <c r="M355" s="9">
        <v>2.1444684173999999E-4</v>
      </c>
      <c r="N355">
        <v>506247</v>
      </c>
      <c r="O355" s="9">
        <v>0.41436286369999997</v>
      </c>
      <c r="P355">
        <v>510747</v>
      </c>
      <c r="Q355" s="9">
        <v>0.41804611098</v>
      </c>
      <c r="R355">
        <f>Telengana_Results_2024[[#This Row],[BJP votes]]-Telengana_Results_2024[[#This Row],[Max Votes Other Than BJP]]</f>
        <v>4500</v>
      </c>
      <c r="S355" s="10">
        <f>Telengana_Results_2024[[#This Row],[BJP vote share]]-Telengana_Results_2024[[#This Row],[Max Vote share other than bjp ]]</f>
        <v>3.6832472800000238E-3</v>
      </c>
      <c r="T355">
        <v>1683709</v>
      </c>
      <c r="U355" s="8">
        <v>0.72908085660999999</v>
      </c>
      <c r="V355" s="1" t="s">
        <v>26</v>
      </c>
    </row>
    <row r="356" spans="1:22" x14ac:dyDescent="0.35">
      <c r="A356">
        <v>2024</v>
      </c>
      <c r="B356" s="1" t="s">
        <v>19</v>
      </c>
      <c r="C356" s="1" t="s">
        <v>626</v>
      </c>
      <c r="D356" s="1" t="s">
        <v>1204</v>
      </c>
      <c r="E356" s="1" t="s">
        <v>21</v>
      </c>
      <c r="F356" s="1" t="s">
        <v>265</v>
      </c>
      <c r="G356" s="1" t="s">
        <v>112</v>
      </c>
      <c r="H356" s="1" t="s">
        <v>53</v>
      </c>
      <c r="I356" s="1" t="s">
        <v>479</v>
      </c>
      <c r="J356">
        <v>1227560</v>
      </c>
      <c r="K356">
        <v>1221748</v>
      </c>
      <c r="L356">
        <v>229</v>
      </c>
      <c r="M356" s="9">
        <v>1.8743636166999999E-4</v>
      </c>
      <c r="N356">
        <v>506247</v>
      </c>
      <c r="O356" s="9">
        <v>0.41436286369999997</v>
      </c>
      <c r="P356">
        <v>510747</v>
      </c>
      <c r="Q356" s="9">
        <v>0.41804611098</v>
      </c>
      <c r="R356">
        <f>Telengana_Results_2024[[#This Row],[BJP votes]]-Telengana_Results_2024[[#This Row],[Max Votes Other Than BJP]]</f>
        <v>4500</v>
      </c>
      <c r="S356" s="10">
        <f>Telengana_Results_2024[[#This Row],[BJP vote share]]-Telengana_Results_2024[[#This Row],[Max Vote share other than bjp ]]</f>
        <v>3.6832472800000238E-3</v>
      </c>
      <c r="T356">
        <v>1683709</v>
      </c>
      <c r="U356" s="8">
        <v>0.72908085660999999</v>
      </c>
      <c r="V356" s="1" t="s">
        <v>26</v>
      </c>
    </row>
    <row r="357" spans="1:22" x14ac:dyDescent="0.35">
      <c r="A357">
        <v>2024</v>
      </c>
      <c r="B357" s="1" t="s">
        <v>19</v>
      </c>
      <c r="C357" s="1" t="s">
        <v>626</v>
      </c>
      <c r="D357" s="1" t="s">
        <v>1205</v>
      </c>
      <c r="E357" s="1" t="s">
        <v>21</v>
      </c>
      <c r="F357" s="1" t="s">
        <v>36</v>
      </c>
      <c r="G357" s="1" t="s">
        <v>23</v>
      </c>
      <c r="H357" s="1" t="s">
        <v>53</v>
      </c>
      <c r="I357" s="1" t="s">
        <v>491</v>
      </c>
      <c r="J357">
        <v>1227560</v>
      </c>
      <c r="K357">
        <v>1221748</v>
      </c>
      <c r="L357">
        <v>183</v>
      </c>
      <c r="M357" s="9">
        <v>1.4978538945999999E-4</v>
      </c>
      <c r="N357">
        <v>506247</v>
      </c>
      <c r="O357" s="9">
        <v>0.41436286369999997</v>
      </c>
      <c r="P357">
        <v>510747</v>
      </c>
      <c r="Q357" s="9">
        <v>0.41804611098</v>
      </c>
      <c r="R357">
        <f>Telengana_Results_2024[[#This Row],[BJP votes]]-Telengana_Results_2024[[#This Row],[Max Votes Other Than BJP]]</f>
        <v>4500</v>
      </c>
      <c r="S357" s="10">
        <f>Telengana_Results_2024[[#This Row],[BJP vote share]]-Telengana_Results_2024[[#This Row],[Max Vote share other than bjp ]]</f>
        <v>3.6832472800000238E-3</v>
      </c>
      <c r="T357">
        <v>1683709</v>
      </c>
      <c r="U357" s="8">
        <v>0.72908085660999999</v>
      </c>
      <c r="V357" s="1" t="s">
        <v>26</v>
      </c>
    </row>
    <row r="358" spans="1:22" x14ac:dyDescent="0.35">
      <c r="A358">
        <v>2024</v>
      </c>
      <c r="B358" s="1" t="s">
        <v>19</v>
      </c>
      <c r="C358" s="1" t="s">
        <v>640</v>
      </c>
      <c r="D358" s="1" t="s">
        <v>1206</v>
      </c>
      <c r="E358" s="1" t="s">
        <v>21</v>
      </c>
      <c r="F358" s="1" t="s">
        <v>1207</v>
      </c>
      <c r="G358" s="1" t="s">
        <v>67</v>
      </c>
      <c r="H358" s="1" t="s">
        <v>29</v>
      </c>
      <c r="I358" s="1" t="s">
        <v>30</v>
      </c>
      <c r="J358">
        <v>1221686</v>
      </c>
      <c r="K358">
        <v>1214643</v>
      </c>
      <c r="L358">
        <v>465072</v>
      </c>
      <c r="M358" s="9">
        <v>0.38288781148000001</v>
      </c>
      <c r="N358">
        <v>465072</v>
      </c>
      <c r="O358" s="9">
        <v>0.38288781148000001</v>
      </c>
      <c r="P358">
        <v>370658</v>
      </c>
      <c r="Q358" s="9">
        <v>0.30515797645999998</v>
      </c>
      <c r="R358">
        <f>Telengana_Results_2024[[#This Row],[BJP votes]]-Telengana_Results_2024[[#This Row],[Max Votes Other Than BJP]]</f>
        <v>-94414</v>
      </c>
      <c r="S358" s="10">
        <f>Telengana_Results_2024[[#This Row],[BJP vote share]]-Telengana_Results_2024[[#This Row],[Max Vote share other than bjp ]]</f>
        <v>-7.7729835020000027E-2</v>
      </c>
      <c r="T358">
        <v>1739310</v>
      </c>
      <c r="U358" s="8">
        <v>0.70239692752000005</v>
      </c>
      <c r="V358" s="1" t="s">
        <v>68</v>
      </c>
    </row>
    <row r="359" spans="1:22" x14ac:dyDescent="0.35">
      <c r="A359">
        <v>2024</v>
      </c>
      <c r="B359" s="1" t="s">
        <v>19</v>
      </c>
      <c r="C359" s="1" t="s">
        <v>640</v>
      </c>
      <c r="D359" s="1" t="s">
        <v>1208</v>
      </c>
      <c r="E359" s="1" t="s">
        <v>21</v>
      </c>
      <c r="F359" s="1" t="s">
        <v>71</v>
      </c>
      <c r="G359" s="1" t="s">
        <v>67</v>
      </c>
      <c r="H359" s="1" t="s">
        <v>32</v>
      </c>
      <c r="I359" s="1" t="s">
        <v>33</v>
      </c>
      <c r="J359">
        <v>1221686</v>
      </c>
      <c r="K359">
        <v>1214643</v>
      </c>
      <c r="L359">
        <v>370658</v>
      </c>
      <c r="M359" s="9">
        <v>0.30515797645999998</v>
      </c>
      <c r="N359">
        <v>465072</v>
      </c>
      <c r="O359" s="9">
        <v>0.38288781148000001</v>
      </c>
      <c r="P359">
        <v>370658</v>
      </c>
      <c r="Q359" s="9">
        <v>0.30515797645999998</v>
      </c>
      <c r="R359">
        <f>Telengana_Results_2024[[#This Row],[BJP votes]]-Telengana_Results_2024[[#This Row],[Max Votes Other Than BJP]]</f>
        <v>-94414</v>
      </c>
      <c r="S359" s="10">
        <f>Telengana_Results_2024[[#This Row],[BJP vote share]]-Telengana_Results_2024[[#This Row],[Max Vote share other than bjp ]]</f>
        <v>-7.7729835020000027E-2</v>
      </c>
      <c r="T359">
        <v>1739310</v>
      </c>
      <c r="U359" s="8">
        <v>0.70239692752000005</v>
      </c>
      <c r="V359" s="1" t="s">
        <v>68</v>
      </c>
    </row>
    <row r="360" spans="1:22" x14ac:dyDescent="0.35">
      <c r="A360">
        <v>2024</v>
      </c>
      <c r="B360" s="1" t="s">
        <v>19</v>
      </c>
      <c r="C360" s="1" t="s">
        <v>640</v>
      </c>
      <c r="D360" s="1" t="s">
        <v>1209</v>
      </c>
      <c r="E360" s="1" t="s">
        <v>21</v>
      </c>
      <c r="F360" s="1" t="s">
        <v>173</v>
      </c>
      <c r="G360" s="1" t="s">
        <v>67</v>
      </c>
      <c r="H360" s="1" t="s">
        <v>785</v>
      </c>
      <c r="I360" s="1" t="s">
        <v>25</v>
      </c>
      <c r="J360">
        <v>1221686</v>
      </c>
      <c r="K360">
        <v>1214643</v>
      </c>
      <c r="L360">
        <v>321343</v>
      </c>
      <c r="M360" s="9">
        <v>0.26455756958999999</v>
      </c>
      <c r="N360">
        <v>465072</v>
      </c>
      <c r="O360" s="9">
        <v>0.38288781148000001</v>
      </c>
      <c r="P360">
        <v>370658</v>
      </c>
      <c r="Q360" s="9">
        <v>0.30515797645999998</v>
      </c>
      <c r="R360">
        <f>Telengana_Results_2024[[#This Row],[BJP votes]]-Telengana_Results_2024[[#This Row],[Max Votes Other Than BJP]]</f>
        <v>-94414</v>
      </c>
      <c r="S360" s="10">
        <f>Telengana_Results_2024[[#This Row],[BJP vote share]]-Telengana_Results_2024[[#This Row],[Max Vote share other than bjp ]]</f>
        <v>-7.7729835020000027E-2</v>
      </c>
      <c r="T360">
        <v>1739310</v>
      </c>
      <c r="U360" s="8">
        <v>0.70239692752000005</v>
      </c>
      <c r="V360" s="1" t="s">
        <v>68</v>
      </c>
    </row>
    <row r="361" spans="1:22" x14ac:dyDescent="0.35">
      <c r="A361">
        <v>2024</v>
      </c>
      <c r="B361" s="1" t="s">
        <v>19</v>
      </c>
      <c r="C361" s="1" t="s">
        <v>640</v>
      </c>
      <c r="D361" s="1" t="s">
        <v>1210</v>
      </c>
      <c r="E361" s="1" t="s">
        <v>21</v>
      </c>
      <c r="F361" s="1" t="s">
        <v>125</v>
      </c>
      <c r="G361" s="1" t="s">
        <v>67</v>
      </c>
      <c r="H361" s="1" t="s">
        <v>787</v>
      </c>
      <c r="I361" s="1" t="s">
        <v>788</v>
      </c>
      <c r="J361">
        <v>1221686</v>
      </c>
      <c r="K361">
        <v>1214643</v>
      </c>
      <c r="L361">
        <v>12554</v>
      </c>
      <c r="M361" s="9">
        <v>1.0335547153E-2</v>
      </c>
      <c r="N361">
        <v>465072</v>
      </c>
      <c r="O361" s="9">
        <v>0.38288781148000001</v>
      </c>
      <c r="P361">
        <v>370658</v>
      </c>
      <c r="Q361" s="9">
        <v>0.30515797645999998</v>
      </c>
      <c r="R361">
        <f>Telengana_Results_2024[[#This Row],[BJP votes]]-Telengana_Results_2024[[#This Row],[Max Votes Other Than BJP]]</f>
        <v>-94414</v>
      </c>
      <c r="S361" s="10">
        <f>Telengana_Results_2024[[#This Row],[BJP vote share]]-Telengana_Results_2024[[#This Row],[Max Vote share other than bjp ]]</f>
        <v>-7.7729835020000027E-2</v>
      </c>
      <c r="T361">
        <v>1739310</v>
      </c>
      <c r="U361" s="8">
        <v>0.70239692752000005</v>
      </c>
      <c r="V361" s="1" t="s">
        <v>68</v>
      </c>
    </row>
    <row r="362" spans="1:22" x14ac:dyDescent="0.35">
      <c r="A362">
        <v>2024</v>
      </c>
      <c r="B362" s="1" t="s">
        <v>19</v>
      </c>
      <c r="C362" s="1" t="s">
        <v>640</v>
      </c>
      <c r="D362" s="1" t="s">
        <v>1211</v>
      </c>
      <c r="E362" s="1" t="s">
        <v>21</v>
      </c>
      <c r="F362" s="1" t="s">
        <v>362</v>
      </c>
      <c r="G362" s="1" t="s">
        <v>67</v>
      </c>
      <c r="H362" s="1" t="s">
        <v>72</v>
      </c>
      <c r="I362" s="1" t="s">
        <v>73</v>
      </c>
      <c r="J362">
        <v>1221686</v>
      </c>
      <c r="K362">
        <v>1214643</v>
      </c>
      <c r="L362">
        <v>7218</v>
      </c>
      <c r="M362" s="9">
        <v>5.9424868048000004E-3</v>
      </c>
      <c r="N362">
        <v>465072</v>
      </c>
      <c r="O362" s="9">
        <v>0.38288781148000001</v>
      </c>
      <c r="P362">
        <v>370658</v>
      </c>
      <c r="Q362" s="9">
        <v>0.30515797645999998</v>
      </c>
      <c r="R362">
        <f>Telengana_Results_2024[[#This Row],[BJP votes]]-Telengana_Results_2024[[#This Row],[Max Votes Other Than BJP]]</f>
        <v>-94414</v>
      </c>
      <c r="S362" s="10">
        <f>Telengana_Results_2024[[#This Row],[BJP vote share]]-Telengana_Results_2024[[#This Row],[Max Vote share other than bjp ]]</f>
        <v>-7.7729835020000027E-2</v>
      </c>
      <c r="T362">
        <v>1739310</v>
      </c>
      <c r="U362" s="8">
        <v>0.70239692752000005</v>
      </c>
      <c r="V362" s="1" t="s">
        <v>68</v>
      </c>
    </row>
    <row r="363" spans="1:22" x14ac:dyDescent="0.35">
      <c r="A363">
        <v>2024</v>
      </c>
      <c r="B363" s="1" t="s">
        <v>19</v>
      </c>
      <c r="C363" s="1" t="s">
        <v>640</v>
      </c>
      <c r="D363" s="1" t="s">
        <v>1212</v>
      </c>
      <c r="E363" s="1" t="s">
        <v>21</v>
      </c>
      <c r="F363" s="1" t="s">
        <v>106</v>
      </c>
      <c r="G363" s="1" t="s">
        <v>67</v>
      </c>
      <c r="H363" s="1" t="s">
        <v>53</v>
      </c>
      <c r="I363" s="1" t="s">
        <v>60</v>
      </c>
      <c r="J363">
        <v>1221686</v>
      </c>
      <c r="K363">
        <v>1214643</v>
      </c>
      <c r="L363">
        <v>6404</v>
      </c>
      <c r="M363" s="9">
        <v>5.2723310471E-3</v>
      </c>
      <c r="N363">
        <v>465072</v>
      </c>
      <c r="O363" s="9">
        <v>0.38288781148000001</v>
      </c>
      <c r="P363">
        <v>370658</v>
      </c>
      <c r="Q363" s="9">
        <v>0.30515797645999998</v>
      </c>
      <c r="R363">
        <f>Telengana_Results_2024[[#This Row],[BJP votes]]-Telengana_Results_2024[[#This Row],[Max Votes Other Than BJP]]</f>
        <v>-94414</v>
      </c>
      <c r="S363" s="10">
        <f>Telengana_Results_2024[[#This Row],[BJP vote share]]-Telengana_Results_2024[[#This Row],[Max Vote share other than bjp ]]</f>
        <v>-7.7729835020000027E-2</v>
      </c>
      <c r="T363">
        <v>1739310</v>
      </c>
      <c r="U363" s="8">
        <v>0.70239692752000005</v>
      </c>
      <c r="V363" s="1" t="s">
        <v>68</v>
      </c>
    </row>
    <row r="364" spans="1:22" x14ac:dyDescent="0.35">
      <c r="A364">
        <v>2024</v>
      </c>
      <c r="B364" s="1" t="s">
        <v>19</v>
      </c>
      <c r="C364" s="1" t="s">
        <v>640</v>
      </c>
      <c r="D364" s="1" t="s">
        <v>64</v>
      </c>
      <c r="E364" s="1" t="s">
        <v>64</v>
      </c>
      <c r="F364" s="1" t="s">
        <v>64</v>
      </c>
      <c r="G364" s="1" t="s">
        <v>64</v>
      </c>
      <c r="H364" s="1" t="s">
        <v>64</v>
      </c>
      <c r="I364" s="1" t="s">
        <v>64</v>
      </c>
      <c r="J364">
        <v>1221686</v>
      </c>
      <c r="K364">
        <v>1214643</v>
      </c>
      <c r="L364">
        <v>4580</v>
      </c>
      <c r="M364" s="9">
        <v>3.7706552459999998E-3</v>
      </c>
      <c r="N364">
        <v>465072</v>
      </c>
      <c r="O364" s="9">
        <v>0.38288781148000001</v>
      </c>
      <c r="P364">
        <v>370658</v>
      </c>
      <c r="Q364" s="9">
        <v>0.30515797645999998</v>
      </c>
      <c r="R364">
        <f>Telengana_Results_2024[[#This Row],[BJP votes]]-Telengana_Results_2024[[#This Row],[Max Votes Other Than BJP]]</f>
        <v>-94414</v>
      </c>
      <c r="S364" s="10">
        <f>Telengana_Results_2024[[#This Row],[BJP vote share]]-Telengana_Results_2024[[#This Row],[Max Vote share other than bjp ]]</f>
        <v>-7.7729835020000027E-2</v>
      </c>
      <c r="T364">
        <v>1739310</v>
      </c>
      <c r="U364" s="8">
        <v>0.70239692752000005</v>
      </c>
      <c r="V364" s="1" t="s">
        <v>68</v>
      </c>
    </row>
    <row r="365" spans="1:22" x14ac:dyDescent="0.35">
      <c r="A365">
        <v>2024</v>
      </c>
      <c r="B365" s="1" t="s">
        <v>19</v>
      </c>
      <c r="C365" s="1" t="s">
        <v>640</v>
      </c>
      <c r="D365" s="1" t="s">
        <v>1213</v>
      </c>
      <c r="E365" s="1" t="s">
        <v>21</v>
      </c>
      <c r="F365" s="1" t="s">
        <v>234</v>
      </c>
      <c r="G365" s="1" t="s">
        <v>67</v>
      </c>
      <c r="H365" s="1" t="s">
        <v>53</v>
      </c>
      <c r="I365" s="1" t="s">
        <v>796</v>
      </c>
      <c r="J365">
        <v>1221686</v>
      </c>
      <c r="K365">
        <v>1214643</v>
      </c>
      <c r="L365">
        <v>4361</v>
      </c>
      <c r="M365" s="9">
        <v>3.5903553554000002E-3</v>
      </c>
      <c r="N365">
        <v>465072</v>
      </c>
      <c r="O365" s="9">
        <v>0.38288781148000001</v>
      </c>
      <c r="P365">
        <v>370658</v>
      </c>
      <c r="Q365" s="9">
        <v>0.30515797645999998</v>
      </c>
      <c r="R365">
        <f>Telengana_Results_2024[[#This Row],[BJP votes]]-Telengana_Results_2024[[#This Row],[Max Votes Other Than BJP]]</f>
        <v>-94414</v>
      </c>
      <c r="S365" s="10">
        <f>Telengana_Results_2024[[#This Row],[BJP vote share]]-Telengana_Results_2024[[#This Row],[Max Vote share other than bjp ]]</f>
        <v>-7.7729835020000027E-2</v>
      </c>
      <c r="T365">
        <v>1739310</v>
      </c>
      <c r="U365" s="8">
        <v>0.70239692752000005</v>
      </c>
      <c r="V365" s="1" t="s">
        <v>68</v>
      </c>
    </row>
    <row r="366" spans="1:22" x14ac:dyDescent="0.35">
      <c r="A366">
        <v>2024</v>
      </c>
      <c r="B366" s="1" t="s">
        <v>19</v>
      </c>
      <c r="C366" s="1" t="s">
        <v>640</v>
      </c>
      <c r="D366" s="1" t="s">
        <v>1214</v>
      </c>
      <c r="E366" s="1" t="s">
        <v>21</v>
      </c>
      <c r="F366" s="1" t="s">
        <v>265</v>
      </c>
      <c r="G366" s="1" t="s">
        <v>67</v>
      </c>
      <c r="H366" s="1" t="s">
        <v>53</v>
      </c>
      <c r="I366" s="1" t="s">
        <v>892</v>
      </c>
      <c r="J366">
        <v>1221686</v>
      </c>
      <c r="K366">
        <v>1214643</v>
      </c>
      <c r="L366">
        <v>4058</v>
      </c>
      <c r="M366" s="9">
        <v>3.3408993423999999E-3</v>
      </c>
      <c r="N366">
        <v>465072</v>
      </c>
      <c r="O366" s="9">
        <v>0.38288781148000001</v>
      </c>
      <c r="P366">
        <v>370658</v>
      </c>
      <c r="Q366" s="9">
        <v>0.30515797645999998</v>
      </c>
      <c r="R366">
        <f>Telengana_Results_2024[[#This Row],[BJP votes]]-Telengana_Results_2024[[#This Row],[Max Votes Other Than BJP]]</f>
        <v>-94414</v>
      </c>
      <c r="S366" s="10">
        <f>Telengana_Results_2024[[#This Row],[BJP vote share]]-Telengana_Results_2024[[#This Row],[Max Vote share other than bjp ]]</f>
        <v>-7.7729835020000027E-2</v>
      </c>
      <c r="T366">
        <v>1739310</v>
      </c>
      <c r="U366" s="8">
        <v>0.70239692752000005</v>
      </c>
      <c r="V366" s="1" t="s">
        <v>68</v>
      </c>
    </row>
    <row r="367" spans="1:22" x14ac:dyDescent="0.35">
      <c r="A367">
        <v>2024</v>
      </c>
      <c r="B367" s="1" t="s">
        <v>19</v>
      </c>
      <c r="C367" s="1" t="s">
        <v>640</v>
      </c>
      <c r="D367" s="1" t="s">
        <v>1215</v>
      </c>
      <c r="E367" s="1" t="s">
        <v>21</v>
      </c>
      <c r="F367" s="1" t="s">
        <v>205</v>
      </c>
      <c r="G367" s="1" t="s">
        <v>67</v>
      </c>
      <c r="H367" s="1" t="s">
        <v>84</v>
      </c>
      <c r="I367" s="1" t="s">
        <v>85</v>
      </c>
      <c r="J367">
        <v>1221686</v>
      </c>
      <c r="K367">
        <v>1214643</v>
      </c>
      <c r="L367">
        <v>3709</v>
      </c>
      <c r="M367" s="9">
        <v>3.0535721194999998E-3</v>
      </c>
      <c r="N367">
        <v>465072</v>
      </c>
      <c r="O367" s="9">
        <v>0.38288781148000001</v>
      </c>
      <c r="P367">
        <v>370658</v>
      </c>
      <c r="Q367" s="9">
        <v>0.30515797645999998</v>
      </c>
      <c r="R367">
        <f>Telengana_Results_2024[[#This Row],[BJP votes]]-Telengana_Results_2024[[#This Row],[Max Votes Other Than BJP]]</f>
        <v>-94414</v>
      </c>
      <c r="S367" s="10">
        <f>Telengana_Results_2024[[#This Row],[BJP vote share]]-Telengana_Results_2024[[#This Row],[Max Vote share other than bjp ]]</f>
        <v>-7.7729835020000027E-2</v>
      </c>
      <c r="T367">
        <v>1739310</v>
      </c>
      <c r="U367" s="8">
        <v>0.70239692752000005</v>
      </c>
      <c r="V367" s="1" t="s">
        <v>68</v>
      </c>
    </row>
    <row r="368" spans="1:22" x14ac:dyDescent="0.35">
      <c r="A368">
        <v>2024</v>
      </c>
      <c r="B368" s="1" t="s">
        <v>19</v>
      </c>
      <c r="C368" s="1" t="s">
        <v>640</v>
      </c>
      <c r="D368" s="1" t="s">
        <v>1216</v>
      </c>
      <c r="E368" s="1" t="s">
        <v>21</v>
      </c>
      <c r="F368" s="1" t="s">
        <v>52</v>
      </c>
      <c r="G368" s="1" t="s">
        <v>67</v>
      </c>
      <c r="H368" s="1" t="s">
        <v>53</v>
      </c>
      <c r="I368" s="1" t="s">
        <v>467</v>
      </c>
      <c r="J368">
        <v>1221686</v>
      </c>
      <c r="K368">
        <v>1214643</v>
      </c>
      <c r="L368">
        <v>3584</v>
      </c>
      <c r="M368" s="9">
        <v>2.9506612231000001E-3</v>
      </c>
      <c r="N368">
        <v>465072</v>
      </c>
      <c r="O368" s="9">
        <v>0.38288781148000001</v>
      </c>
      <c r="P368">
        <v>370658</v>
      </c>
      <c r="Q368" s="9">
        <v>0.30515797645999998</v>
      </c>
      <c r="R368">
        <f>Telengana_Results_2024[[#This Row],[BJP votes]]-Telengana_Results_2024[[#This Row],[Max Votes Other Than BJP]]</f>
        <v>-94414</v>
      </c>
      <c r="S368" s="10">
        <f>Telengana_Results_2024[[#This Row],[BJP vote share]]-Telengana_Results_2024[[#This Row],[Max Vote share other than bjp ]]</f>
        <v>-7.7729835020000027E-2</v>
      </c>
      <c r="T368">
        <v>1739310</v>
      </c>
      <c r="U368" s="8">
        <v>0.70239692752000005</v>
      </c>
      <c r="V368" s="1" t="s">
        <v>68</v>
      </c>
    </row>
    <row r="369" spans="1:22" x14ac:dyDescent="0.35">
      <c r="A369">
        <v>2024</v>
      </c>
      <c r="B369" s="1" t="s">
        <v>19</v>
      </c>
      <c r="C369" s="1" t="s">
        <v>640</v>
      </c>
      <c r="D369" s="1" t="s">
        <v>1217</v>
      </c>
      <c r="E369" s="1" t="s">
        <v>35</v>
      </c>
      <c r="F369" s="1" t="s">
        <v>155</v>
      </c>
      <c r="G369" s="1" t="s">
        <v>67</v>
      </c>
      <c r="H369" s="1" t="s">
        <v>53</v>
      </c>
      <c r="I369" s="1" t="s">
        <v>57</v>
      </c>
      <c r="J369">
        <v>1221686</v>
      </c>
      <c r="K369">
        <v>1214643</v>
      </c>
      <c r="L369">
        <v>3147</v>
      </c>
      <c r="M369" s="9">
        <v>2.5908847290999999E-3</v>
      </c>
      <c r="N369">
        <v>465072</v>
      </c>
      <c r="O369" s="9">
        <v>0.38288781148000001</v>
      </c>
      <c r="P369">
        <v>370658</v>
      </c>
      <c r="Q369" s="9">
        <v>0.30515797645999998</v>
      </c>
      <c r="R369">
        <f>Telengana_Results_2024[[#This Row],[BJP votes]]-Telengana_Results_2024[[#This Row],[Max Votes Other Than BJP]]</f>
        <v>-94414</v>
      </c>
      <c r="S369" s="10">
        <f>Telengana_Results_2024[[#This Row],[BJP vote share]]-Telengana_Results_2024[[#This Row],[Max Vote share other than bjp ]]</f>
        <v>-7.7729835020000027E-2</v>
      </c>
      <c r="T369">
        <v>1739310</v>
      </c>
      <c r="U369" s="8">
        <v>0.70239692752000005</v>
      </c>
      <c r="V369" s="1" t="s">
        <v>68</v>
      </c>
    </row>
    <row r="370" spans="1:22" x14ac:dyDescent="0.35">
      <c r="A370">
        <v>2024</v>
      </c>
      <c r="B370" s="1" t="s">
        <v>19</v>
      </c>
      <c r="C370" s="1" t="s">
        <v>640</v>
      </c>
      <c r="D370" s="1" t="s">
        <v>1218</v>
      </c>
      <c r="E370" s="1" t="s">
        <v>35</v>
      </c>
      <c r="F370" s="1" t="s">
        <v>135</v>
      </c>
      <c r="G370" s="1" t="s">
        <v>67</v>
      </c>
      <c r="H370" s="1" t="s">
        <v>53</v>
      </c>
      <c r="I370" s="1" t="s">
        <v>457</v>
      </c>
      <c r="J370">
        <v>1221686</v>
      </c>
      <c r="K370">
        <v>1214643</v>
      </c>
      <c r="L370">
        <v>3087</v>
      </c>
      <c r="M370" s="9">
        <v>2.5414874987999998E-3</v>
      </c>
      <c r="N370">
        <v>465072</v>
      </c>
      <c r="O370" s="9">
        <v>0.38288781148000001</v>
      </c>
      <c r="P370">
        <v>370658</v>
      </c>
      <c r="Q370" s="9">
        <v>0.30515797645999998</v>
      </c>
      <c r="R370">
        <f>Telengana_Results_2024[[#This Row],[BJP votes]]-Telengana_Results_2024[[#This Row],[Max Votes Other Than BJP]]</f>
        <v>-94414</v>
      </c>
      <c r="S370" s="10">
        <f>Telengana_Results_2024[[#This Row],[BJP vote share]]-Telengana_Results_2024[[#This Row],[Max Vote share other than bjp ]]</f>
        <v>-7.7729835020000027E-2</v>
      </c>
      <c r="T370">
        <v>1739310</v>
      </c>
      <c r="U370" s="8">
        <v>0.70239692752000005</v>
      </c>
      <c r="V370" s="1" t="s">
        <v>68</v>
      </c>
    </row>
    <row r="371" spans="1:22" x14ac:dyDescent="0.35">
      <c r="A371">
        <v>2024</v>
      </c>
      <c r="B371" s="1" t="s">
        <v>19</v>
      </c>
      <c r="C371" s="1" t="s">
        <v>640</v>
      </c>
      <c r="D371" s="1" t="s">
        <v>1219</v>
      </c>
      <c r="E371" s="1" t="s">
        <v>21</v>
      </c>
      <c r="F371" s="1" t="s">
        <v>71</v>
      </c>
      <c r="G371" s="1" t="s">
        <v>67</v>
      </c>
      <c r="H371" s="1" t="s">
        <v>53</v>
      </c>
      <c r="I371" s="1" t="s">
        <v>491</v>
      </c>
      <c r="J371">
        <v>1221686</v>
      </c>
      <c r="K371">
        <v>1214643</v>
      </c>
      <c r="L371">
        <v>2839</v>
      </c>
      <c r="M371" s="9">
        <v>2.3373122802000002E-3</v>
      </c>
      <c r="N371">
        <v>465072</v>
      </c>
      <c r="O371" s="9">
        <v>0.38288781148000001</v>
      </c>
      <c r="P371">
        <v>370658</v>
      </c>
      <c r="Q371" s="9">
        <v>0.30515797645999998</v>
      </c>
      <c r="R371">
        <f>Telengana_Results_2024[[#This Row],[BJP votes]]-Telengana_Results_2024[[#This Row],[Max Votes Other Than BJP]]</f>
        <v>-94414</v>
      </c>
      <c r="S371" s="10">
        <f>Telengana_Results_2024[[#This Row],[BJP vote share]]-Telengana_Results_2024[[#This Row],[Max Vote share other than bjp ]]</f>
        <v>-7.7729835020000027E-2</v>
      </c>
      <c r="T371">
        <v>1739310</v>
      </c>
      <c r="U371" s="8">
        <v>0.70239692752000005</v>
      </c>
      <c r="V371" s="1" t="s">
        <v>68</v>
      </c>
    </row>
    <row r="372" spans="1:22" x14ac:dyDescent="0.35">
      <c r="A372">
        <v>2024</v>
      </c>
      <c r="B372" s="1" t="s">
        <v>19</v>
      </c>
      <c r="C372" s="1" t="s">
        <v>640</v>
      </c>
      <c r="D372" s="1" t="s">
        <v>1220</v>
      </c>
      <c r="E372" s="1" t="s">
        <v>21</v>
      </c>
      <c r="F372" s="1" t="s">
        <v>40</v>
      </c>
      <c r="G372" s="1" t="s">
        <v>67</v>
      </c>
      <c r="H372" s="1" t="s">
        <v>53</v>
      </c>
      <c r="I372" s="1" t="s">
        <v>846</v>
      </c>
      <c r="J372">
        <v>1221686</v>
      </c>
      <c r="K372">
        <v>1214643</v>
      </c>
      <c r="L372">
        <v>1981</v>
      </c>
      <c r="M372" s="9">
        <v>1.6309318870000001E-3</v>
      </c>
      <c r="N372">
        <v>465072</v>
      </c>
      <c r="O372" s="9">
        <v>0.38288781148000001</v>
      </c>
      <c r="P372">
        <v>370658</v>
      </c>
      <c r="Q372" s="9">
        <v>0.30515797645999998</v>
      </c>
      <c r="R372">
        <f>Telengana_Results_2024[[#This Row],[BJP votes]]-Telengana_Results_2024[[#This Row],[Max Votes Other Than BJP]]</f>
        <v>-94414</v>
      </c>
      <c r="S372" s="10">
        <f>Telengana_Results_2024[[#This Row],[BJP vote share]]-Telengana_Results_2024[[#This Row],[Max Vote share other than bjp ]]</f>
        <v>-7.7729835020000027E-2</v>
      </c>
      <c r="T372">
        <v>1739310</v>
      </c>
      <c r="U372" s="8">
        <v>0.70239692752000005</v>
      </c>
      <c r="V372" s="1" t="s">
        <v>68</v>
      </c>
    </row>
    <row r="373" spans="1:22" x14ac:dyDescent="0.35">
      <c r="A373">
        <v>2024</v>
      </c>
      <c r="B373" s="1" t="s">
        <v>19</v>
      </c>
      <c r="C373" s="1" t="s">
        <v>640</v>
      </c>
      <c r="D373" s="1" t="s">
        <v>1221</v>
      </c>
      <c r="E373" s="1" t="s">
        <v>21</v>
      </c>
      <c r="F373" s="1" t="s">
        <v>125</v>
      </c>
      <c r="G373" s="1" t="s">
        <v>67</v>
      </c>
      <c r="H373" s="1" t="s">
        <v>1134</v>
      </c>
      <c r="I373" s="1" t="s">
        <v>890</v>
      </c>
      <c r="J373">
        <v>1221686</v>
      </c>
      <c r="K373">
        <v>1214643</v>
      </c>
      <c r="L373">
        <v>1227</v>
      </c>
      <c r="M373" s="9">
        <v>1.0101733596E-3</v>
      </c>
      <c r="N373">
        <v>465072</v>
      </c>
      <c r="O373" s="9">
        <v>0.38288781148000001</v>
      </c>
      <c r="P373">
        <v>370658</v>
      </c>
      <c r="Q373" s="9">
        <v>0.30515797645999998</v>
      </c>
      <c r="R373">
        <f>Telengana_Results_2024[[#This Row],[BJP votes]]-Telengana_Results_2024[[#This Row],[Max Votes Other Than BJP]]</f>
        <v>-94414</v>
      </c>
      <c r="S373" s="10">
        <f>Telengana_Results_2024[[#This Row],[BJP vote share]]-Telengana_Results_2024[[#This Row],[Max Vote share other than bjp ]]</f>
        <v>-7.7729835020000027E-2</v>
      </c>
      <c r="T373">
        <v>1739310</v>
      </c>
      <c r="U373" s="8">
        <v>0.70239692752000005</v>
      </c>
      <c r="V373" s="1" t="s">
        <v>68</v>
      </c>
    </row>
    <row r="374" spans="1:22" x14ac:dyDescent="0.35">
      <c r="A374">
        <v>2024</v>
      </c>
      <c r="B374" s="1" t="s">
        <v>19</v>
      </c>
      <c r="C374" s="1" t="s">
        <v>640</v>
      </c>
      <c r="D374" s="1" t="s">
        <v>647</v>
      </c>
      <c r="E374" s="1" t="s">
        <v>21</v>
      </c>
      <c r="F374" s="1" t="s">
        <v>155</v>
      </c>
      <c r="G374" s="1" t="s">
        <v>67</v>
      </c>
      <c r="H374" s="1" t="s">
        <v>150</v>
      </c>
      <c r="I374" s="1" t="s">
        <v>151</v>
      </c>
      <c r="J374">
        <v>1221686</v>
      </c>
      <c r="K374">
        <v>1214643</v>
      </c>
      <c r="L374">
        <v>1009</v>
      </c>
      <c r="M374" s="9">
        <v>8.3069675617000001E-4</v>
      </c>
      <c r="N374">
        <v>465072</v>
      </c>
      <c r="O374" s="9">
        <v>0.38288781148000001</v>
      </c>
      <c r="P374">
        <v>370658</v>
      </c>
      <c r="Q374" s="9">
        <v>0.30515797645999998</v>
      </c>
      <c r="R374">
        <f>Telengana_Results_2024[[#This Row],[BJP votes]]-Telengana_Results_2024[[#This Row],[Max Votes Other Than BJP]]</f>
        <v>-94414</v>
      </c>
      <c r="S374" s="10">
        <f>Telengana_Results_2024[[#This Row],[BJP vote share]]-Telengana_Results_2024[[#This Row],[Max Vote share other than bjp ]]</f>
        <v>-7.7729835020000027E-2</v>
      </c>
      <c r="T374">
        <v>1739310</v>
      </c>
      <c r="U374" s="8">
        <v>0.70239692752000005</v>
      </c>
      <c r="V374" s="1" t="s">
        <v>68</v>
      </c>
    </row>
    <row r="375" spans="1:22" x14ac:dyDescent="0.35">
      <c r="A375">
        <v>2024</v>
      </c>
      <c r="B375" s="1" t="s">
        <v>19</v>
      </c>
      <c r="C375" s="1" t="s">
        <v>640</v>
      </c>
      <c r="D375" s="1" t="s">
        <v>1222</v>
      </c>
      <c r="E375" s="1" t="s">
        <v>21</v>
      </c>
      <c r="F375" s="1" t="s">
        <v>115</v>
      </c>
      <c r="G375" s="1" t="s">
        <v>67</v>
      </c>
      <c r="H375" s="1" t="s">
        <v>77</v>
      </c>
      <c r="I375" s="1" t="s">
        <v>828</v>
      </c>
      <c r="J375">
        <v>1221686</v>
      </c>
      <c r="K375">
        <v>1214643</v>
      </c>
      <c r="L375">
        <v>892</v>
      </c>
      <c r="M375" s="9">
        <v>7.3437215709000003E-4</v>
      </c>
      <c r="N375">
        <v>465072</v>
      </c>
      <c r="O375" s="9">
        <v>0.38288781148000001</v>
      </c>
      <c r="P375">
        <v>370658</v>
      </c>
      <c r="Q375" s="9">
        <v>0.30515797645999998</v>
      </c>
      <c r="R375">
        <f>Telengana_Results_2024[[#This Row],[BJP votes]]-Telengana_Results_2024[[#This Row],[Max Votes Other Than BJP]]</f>
        <v>-94414</v>
      </c>
      <c r="S375" s="10">
        <f>Telengana_Results_2024[[#This Row],[BJP vote share]]-Telengana_Results_2024[[#This Row],[Max Vote share other than bjp ]]</f>
        <v>-7.7729835020000027E-2</v>
      </c>
      <c r="T375">
        <v>1739310</v>
      </c>
      <c r="U375" s="8">
        <v>0.70239692752000005</v>
      </c>
      <c r="V375" s="1" t="s">
        <v>68</v>
      </c>
    </row>
    <row r="376" spans="1:22" x14ac:dyDescent="0.35">
      <c r="A376">
        <v>2024</v>
      </c>
      <c r="B376" s="1" t="s">
        <v>19</v>
      </c>
      <c r="C376" s="1" t="s">
        <v>640</v>
      </c>
      <c r="D376" s="1" t="s">
        <v>1223</v>
      </c>
      <c r="E376" s="1" t="s">
        <v>21</v>
      </c>
      <c r="F376" s="1" t="s">
        <v>265</v>
      </c>
      <c r="G376" s="1" t="s">
        <v>67</v>
      </c>
      <c r="H376" s="1" t="s">
        <v>800</v>
      </c>
      <c r="I376" s="1" t="s">
        <v>54</v>
      </c>
      <c r="J376">
        <v>1221686</v>
      </c>
      <c r="K376">
        <v>1214643</v>
      </c>
      <c r="L376">
        <v>770</v>
      </c>
      <c r="M376" s="9">
        <v>6.3393112214999998E-4</v>
      </c>
      <c r="N376">
        <v>465072</v>
      </c>
      <c r="O376" s="9">
        <v>0.38288781148000001</v>
      </c>
      <c r="P376">
        <v>370658</v>
      </c>
      <c r="Q376" s="9">
        <v>0.30515797645999998</v>
      </c>
      <c r="R376">
        <f>Telengana_Results_2024[[#This Row],[BJP votes]]-Telengana_Results_2024[[#This Row],[Max Votes Other Than BJP]]</f>
        <v>-94414</v>
      </c>
      <c r="S376" s="10">
        <f>Telengana_Results_2024[[#This Row],[BJP vote share]]-Telengana_Results_2024[[#This Row],[Max Vote share other than bjp ]]</f>
        <v>-7.7729835020000027E-2</v>
      </c>
      <c r="T376">
        <v>1739310</v>
      </c>
      <c r="U376" s="8">
        <v>0.70239692752000005</v>
      </c>
      <c r="V376" s="1" t="s">
        <v>68</v>
      </c>
    </row>
    <row r="377" spans="1:22" x14ac:dyDescent="0.35">
      <c r="A377">
        <v>2024</v>
      </c>
      <c r="B377" s="1" t="s">
        <v>19</v>
      </c>
      <c r="C377" s="1" t="s">
        <v>640</v>
      </c>
      <c r="D377" s="1" t="s">
        <v>1224</v>
      </c>
      <c r="E377" s="1" t="s">
        <v>35</v>
      </c>
      <c r="F377" s="1" t="s">
        <v>205</v>
      </c>
      <c r="G377" s="1" t="s">
        <v>67</v>
      </c>
      <c r="H377" s="1" t="s">
        <v>1001</v>
      </c>
      <c r="I377" s="1" t="s">
        <v>463</v>
      </c>
      <c r="J377">
        <v>1221686</v>
      </c>
      <c r="K377">
        <v>1214643</v>
      </c>
      <c r="L377">
        <v>730</v>
      </c>
      <c r="M377" s="9">
        <v>6.0099963528E-4</v>
      </c>
      <c r="N377">
        <v>465072</v>
      </c>
      <c r="O377" s="9">
        <v>0.38288781148000001</v>
      </c>
      <c r="P377">
        <v>370658</v>
      </c>
      <c r="Q377" s="9">
        <v>0.30515797645999998</v>
      </c>
      <c r="R377">
        <f>Telengana_Results_2024[[#This Row],[BJP votes]]-Telengana_Results_2024[[#This Row],[Max Votes Other Than BJP]]</f>
        <v>-94414</v>
      </c>
      <c r="S377" s="10">
        <f>Telengana_Results_2024[[#This Row],[BJP vote share]]-Telengana_Results_2024[[#This Row],[Max Vote share other than bjp ]]</f>
        <v>-7.7729835020000027E-2</v>
      </c>
      <c r="T377">
        <v>1739310</v>
      </c>
      <c r="U377" s="8">
        <v>0.70239692752000005</v>
      </c>
      <c r="V377" s="1" t="s">
        <v>68</v>
      </c>
    </row>
    <row r="378" spans="1:22" x14ac:dyDescent="0.35">
      <c r="A378">
        <v>2024</v>
      </c>
      <c r="B378" s="1" t="s">
        <v>19</v>
      </c>
      <c r="C378" s="1" t="s">
        <v>653</v>
      </c>
      <c r="D378" s="1" t="s">
        <v>1225</v>
      </c>
      <c r="E378" s="1" t="s">
        <v>21</v>
      </c>
      <c r="F378" s="1" t="s">
        <v>183</v>
      </c>
      <c r="G378" s="1" t="s">
        <v>112</v>
      </c>
      <c r="H378" s="1" t="s">
        <v>29</v>
      </c>
      <c r="I378" s="1" t="s">
        <v>30</v>
      </c>
      <c r="J378">
        <v>1297265</v>
      </c>
      <c r="K378">
        <v>1290238</v>
      </c>
      <c r="L378">
        <v>784337</v>
      </c>
      <c r="M378" s="9">
        <v>0.60790102291000003</v>
      </c>
      <c r="N378">
        <v>784337</v>
      </c>
      <c r="O378" s="9">
        <v>0.60790102291000003</v>
      </c>
      <c r="P378">
        <v>224432</v>
      </c>
      <c r="Q378" s="9">
        <v>0.17394620217000001</v>
      </c>
      <c r="R378">
        <f>Telengana_Results_2024[[#This Row],[BJP votes]]-Telengana_Results_2024[[#This Row],[Max Votes Other Than BJP]]</f>
        <v>-559905</v>
      </c>
      <c r="S378" s="10">
        <f>Telengana_Results_2024[[#This Row],[BJP vote share]]-Telengana_Results_2024[[#This Row],[Max Vote share other than bjp ]]</f>
        <v>-0.43395482074000002</v>
      </c>
      <c r="T378">
        <v>1726204</v>
      </c>
      <c r="U378" s="8">
        <v>0.75151314677000003</v>
      </c>
      <c r="V378" s="1" t="s">
        <v>68</v>
      </c>
    </row>
    <row r="379" spans="1:22" x14ac:dyDescent="0.35">
      <c r="A379">
        <v>2024</v>
      </c>
      <c r="B379" s="1" t="s">
        <v>19</v>
      </c>
      <c r="C379" s="1" t="s">
        <v>653</v>
      </c>
      <c r="D379" s="1" t="s">
        <v>1226</v>
      </c>
      <c r="E379" s="1" t="s">
        <v>21</v>
      </c>
      <c r="F379" s="1" t="s">
        <v>234</v>
      </c>
      <c r="G379" s="1" t="s">
        <v>112</v>
      </c>
      <c r="H379" s="1" t="s">
        <v>32</v>
      </c>
      <c r="I379" s="1" t="s">
        <v>33</v>
      </c>
      <c r="J379">
        <v>1297265</v>
      </c>
      <c r="K379">
        <v>1290238</v>
      </c>
      <c r="L379">
        <v>224432</v>
      </c>
      <c r="M379" s="9">
        <v>0.17394620217000001</v>
      </c>
      <c r="N379">
        <v>784337</v>
      </c>
      <c r="O379" s="9">
        <v>0.60790102291000003</v>
      </c>
      <c r="P379">
        <v>224432</v>
      </c>
      <c r="Q379" s="9">
        <v>0.17394620217000001</v>
      </c>
      <c r="R379">
        <f>Telengana_Results_2024[[#This Row],[BJP votes]]-Telengana_Results_2024[[#This Row],[Max Votes Other Than BJP]]</f>
        <v>-559905</v>
      </c>
      <c r="S379" s="10">
        <f>Telengana_Results_2024[[#This Row],[BJP vote share]]-Telengana_Results_2024[[#This Row],[Max Vote share other than bjp ]]</f>
        <v>-0.43395482074000002</v>
      </c>
      <c r="T379">
        <v>1726204</v>
      </c>
      <c r="U379" s="8">
        <v>0.75151314677000003</v>
      </c>
      <c r="V379" s="1" t="s">
        <v>68</v>
      </c>
    </row>
    <row r="380" spans="1:22" x14ac:dyDescent="0.35">
      <c r="A380">
        <v>2024</v>
      </c>
      <c r="B380" s="1" t="s">
        <v>19</v>
      </c>
      <c r="C380" s="1" t="s">
        <v>653</v>
      </c>
      <c r="D380" s="1" t="s">
        <v>1227</v>
      </c>
      <c r="E380" s="1" t="s">
        <v>21</v>
      </c>
      <c r="F380" s="1" t="s">
        <v>52</v>
      </c>
      <c r="G380" s="1" t="s">
        <v>112</v>
      </c>
      <c r="H380" s="1" t="s">
        <v>785</v>
      </c>
      <c r="I380" s="1" t="s">
        <v>25</v>
      </c>
      <c r="J380">
        <v>1297265</v>
      </c>
      <c r="K380">
        <v>1290238</v>
      </c>
      <c r="L380">
        <v>218417</v>
      </c>
      <c r="M380" s="9">
        <v>0.16928427158000001</v>
      </c>
      <c r="N380">
        <v>784337</v>
      </c>
      <c r="O380" s="9">
        <v>0.60790102291000003</v>
      </c>
      <c r="P380">
        <v>224432</v>
      </c>
      <c r="Q380" s="9">
        <v>0.17394620217000001</v>
      </c>
      <c r="R380">
        <f>Telengana_Results_2024[[#This Row],[BJP votes]]-Telengana_Results_2024[[#This Row],[Max Votes Other Than BJP]]</f>
        <v>-559905</v>
      </c>
      <c r="S380" s="10">
        <f>Telengana_Results_2024[[#This Row],[BJP vote share]]-Telengana_Results_2024[[#This Row],[Max Vote share other than bjp ]]</f>
        <v>-0.43395482074000002</v>
      </c>
      <c r="T380">
        <v>1726204</v>
      </c>
      <c r="U380" s="8">
        <v>0.75151314677000003</v>
      </c>
      <c r="V380" s="1" t="s">
        <v>68</v>
      </c>
    </row>
    <row r="381" spans="1:22" x14ac:dyDescent="0.35">
      <c r="A381">
        <v>2024</v>
      </c>
      <c r="B381" s="1" t="s">
        <v>19</v>
      </c>
      <c r="C381" s="1" t="s">
        <v>653</v>
      </c>
      <c r="D381" s="1" t="s">
        <v>662</v>
      </c>
      <c r="E381" s="1" t="s">
        <v>21</v>
      </c>
      <c r="F381" s="1" t="s">
        <v>200</v>
      </c>
      <c r="G381" s="1" t="s">
        <v>67</v>
      </c>
      <c r="H381" s="1" t="s">
        <v>663</v>
      </c>
      <c r="I381" s="1" t="s">
        <v>788</v>
      </c>
      <c r="J381">
        <v>1297265</v>
      </c>
      <c r="K381">
        <v>1290238</v>
      </c>
      <c r="L381">
        <v>10859</v>
      </c>
      <c r="M381" s="9">
        <v>8.4162766869000007E-3</v>
      </c>
      <c r="N381">
        <v>784337</v>
      </c>
      <c r="O381" s="9">
        <v>0.60790102291000003</v>
      </c>
      <c r="P381">
        <v>224432</v>
      </c>
      <c r="Q381" s="9">
        <v>0.17394620217000001</v>
      </c>
      <c r="R381">
        <f>Telengana_Results_2024[[#This Row],[BJP votes]]-Telengana_Results_2024[[#This Row],[Max Votes Other Than BJP]]</f>
        <v>-559905</v>
      </c>
      <c r="S381" s="10">
        <f>Telengana_Results_2024[[#This Row],[BJP vote share]]-Telengana_Results_2024[[#This Row],[Max Vote share other than bjp ]]</f>
        <v>-0.43395482074000002</v>
      </c>
      <c r="T381">
        <v>1726204</v>
      </c>
      <c r="U381" s="8">
        <v>0.75151314677000003</v>
      </c>
      <c r="V381" s="1" t="s">
        <v>68</v>
      </c>
    </row>
    <row r="382" spans="1:22" x14ac:dyDescent="0.35">
      <c r="A382">
        <v>2024</v>
      </c>
      <c r="B382" s="1" t="s">
        <v>19</v>
      </c>
      <c r="C382" s="1" t="s">
        <v>653</v>
      </c>
      <c r="D382" s="1" t="s">
        <v>1228</v>
      </c>
      <c r="E382" s="1" t="s">
        <v>21</v>
      </c>
      <c r="F382" s="1" t="s">
        <v>703</v>
      </c>
      <c r="G382" s="1" t="s">
        <v>112</v>
      </c>
      <c r="H382" s="1" t="s">
        <v>72</v>
      </c>
      <c r="I382" s="1" t="s">
        <v>73</v>
      </c>
      <c r="J382">
        <v>1297265</v>
      </c>
      <c r="K382">
        <v>1290238</v>
      </c>
      <c r="L382">
        <v>7177</v>
      </c>
      <c r="M382" s="9">
        <v>5.5625396245000003E-3</v>
      </c>
      <c r="N382">
        <v>784337</v>
      </c>
      <c r="O382" s="9">
        <v>0.60790102291000003</v>
      </c>
      <c r="P382">
        <v>224432</v>
      </c>
      <c r="Q382" s="9">
        <v>0.17394620217000001</v>
      </c>
      <c r="R382">
        <f>Telengana_Results_2024[[#This Row],[BJP votes]]-Telengana_Results_2024[[#This Row],[Max Votes Other Than BJP]]</f>
        <v>-559905</v>
      </c>
      <c r="S382" s="10">
        <f>Telengana_Results_2024[[#This Row],[BJP vote share]]-Telengana_Results_2024[[#This Row],[Max Vote share other than bjp ]]</f>
        <v>-0.43395482074000002</v>
      </c>
      <c r="T382">
        <v>1726204</v>
      </c>
      <c r="U382" s="8">
        <v>0.75151314677000003</v>
      </c>
      <c r="V382" s="1" t="s">
        <v>68</v>
      </c>
    </row>
    <row r="383" spans="1:22" x14ac:dyDescent="0.35">
      <c r="A383">
        <v>2024</v>
      </c>
      <c r="B383" s="1" t="s">
        <v>19</v>
      </c>
      <c r="C383" s="1" t="s">
        <v>653</v>
      </c>
      <c r="D383" s="1" t="s">
        <v>1229</v>
      </c>
      <c r="E383" s="1" t="s">
        <v>21</v>
      </c>
      <c r="F383" s="1" t="s">
        <v>205</v>
      </c>
      <c r="G383" s="1" t="s">
        <v>67</v>
      </c>
      <c r="H383" s="1" t="s">
        <v>53</v>
      </c>
      <c r="I383" s="1" t="s">
        <v>198</v>
      </c>
      <c r="J383">
        <v>1297265</v>
      </c>
      <c r="K383">
        <v>1290238</v>
      </c>
      <c r="L383">
        <v>7128</v>
      </c>
      <c r="M383" s="9">
        <v>5.5245621350000001E-3</v>
      </c>
      <c r="N383">
        <v>784337</v>
      </c>
      <c r="O383" s="9">
        <v>0.60790102291000003</v>
      </c>
      <c r="P383">
        <v>224432</v>
      </c>
      <c r="Q383" s="9">
        <v>0.17394620217000001</v>
      </c>
      <c r="R383">
        <f>Telengana_Results_2024[[#This Row],[BJP votes]]-Telengana_Results_2024[[#This Row],[Max Votes Other Than BJP]]</f>
        <v>-559905</v>
      </c>
      <c r="S383" s="10">
        <f>Telengana_Results_2024[[#This Row],[BJP vote share]]-Telengana_Results_2024[[#This Row],[Max Vote share other than bjp ]]</f>
        <v>-0.43395482074000002</v>
      </c>
      <c r="T383">
        <v>1726204</v>
      </c>
      <c r="U383" s="8">
        <v>0.75151314677000003</v>
      </c>
      <c r="V383" s="1" t="s">
        <v>68</v>
      </c>
    </row>
    <row r="384" spans="1:22" x14ac:dyDescent="0.35">
      <c r="A384">
        <v>2024</v>
      </c>
      <c r="B384" s="1" t="s">
        <v>19</v>
      </c>
      <c r="C384" s="1" t="s">
        <v>653</v>
      </c>
      <c r="D384" s="1" t="s">
        <v>64</v>
      </c>
      <c r="E384" s="1" t="s">
        <v>64</v>
      </c>
      <c r="F384" s="1" t="s">
        <v>64</v>
      </c>
      <c r="G384" s="1" t="s">
        <v>64</v>
      </c>
      <c r="H384" s="1" t="s">
        <v>64</v>
      </c>
      <c r="I384" s="1" t="s">
        <v>64</v>
      </c>
      <c r="J384">
        <v>1297265</v>
      </c>
      <c r="K384">
        <v>1290238</v>
      </c>
      <c r="L384">
        <v>6086</v>
      </c>
      <c r="M384" s="9">
        <v>4.7169591966999998E-3</v>
      </c>
      <c r="N384">
        <v>784337</v>
      </c>
      <c r="O384" s="9">
        <v>0.60790102291000003</v>
      </c>
      <c r="P384">
        <v>224432</v>
      </c>
      <c r="Q384" s="9">
        <v>0.17394620217000001</v>
      </c>
      <c r="R384">
        <f>Telengana_Results_2024[[#This Row],[BJP votes]]-Telengana_Results_2024[[#This Row],[Max Votes Other Than BJP]]</f>
        <v>-559905</v>
      </c>
      <c r="S384" s="10">
        <f>Telengana_Results_2024[[#This Row],[BJP vote share]]-Telengana_Results_2024[[#This Row],[Max Vote share other than bjp ]]</f>
        <v>-0.43395482074000002</v>
      </c>
      <c r="T384">
        <v>1726204</v>
      </c>
      <c r="U384" s="8">
        <v>0.75151314677000003</v>
      </c>
      <c r="V384" s="1" t="s">
        <v>68</v>
      </c>
    </row>
    <row r="385" spans="1:22" x14ac:dyDescent="0.35">
      <c r="A385">
        <v>2024</v>
      </c>
      <c r="B385" s="1" t="s">
        <v>19</v>
      </c>
      <c r="C385" s="1" t="s">
        <v>653</v>
      </c>
      <c r="D385" s="1" t="s">
        <v>679</v>
      </c>
      <c r="E385" s="1" t="s">
        <v>21</v>
      </c>
      <c r="F385" s="1" t="s">
        <v>52</v>
      </c>
      <c r="G385" s="1" t="s">
        <v>112</v>
      </c>
      <c r="H385" s="1" t="s">
        <v>53</v>
      </c>
      <c r="I385" s="1" t="s">
        <v>184</v>
      </c>
      <c r="J385">
        <v>1297265</v>
      </c>
      <c r="K385">
        <v>1290238</v>
      </c>
      <c r="L385">
        <v>5967</v>
      </c>
      <c r="M385" s="9">
        <v>4.6247281508999998E-3</v>
      </c>
      <c r="N385">
        <v>784337</v>
      </c>
      <c r="O385" s="9">
        <v>0.60790102291000003</v>
      </c>
      <c r="P385">
        <v>224432</v>
      </c>
      <c r="Q385" s="9">
        <v>0.17394620217000001</v>
      </c>
      <c r="R385">
        <f>Telengana_Results_2024[[#This Row],[BJP votes]]-Telengana_Results_2024[[#This Row],[Max Votes Other Than BJP]]</f>
        <v>-559905</v>
      </c>
      <c r="S385" s="10">
        <f>Telengana_Results_2024[[#This Row],[BJP vote share]]-Telengana_Results_2024[[#This Row],[Max Vote share other than bjp ]]</f>
        <v>-0.43395482074000002</v>
      </c>
      <c r="T385">
        <v>1726204</v>
      </c>
      <c r="U385" s="8">
        <v>0.75151314677000003</v>
      </c>
      <c r="V385" s="1" t="s">
        <v>68</v>
      </c>
    </row>
    <row r="386" spans="1:22" x14ac:dyDescent="0.35">
      <c r="A386">
        <v>2024</v>
      </c>
      <c r="B386" s="1" t="s">
        <v>19</v>
      </c>
      <c r="C386" s="1" t="s">
        <v>653</v>
      </c>
      <c r="D386" s="1" t="s">
        <v>1230</v>
      </c>
      <c r="E386" s="1" t="s">
        <v>21</v>
      </c>
      <c r="F386" s="1" t="s">
        <v>48</v>
      </c>
      <c r="G386" s="1" t="s">
        <v>23</v>
      </c>
      <c r="H386" s="1" t="s">
        <v>53</v>
      </c>
      <c r="I386" s="1" t="s">
        <v>883</v>
      </c>
      <c r="J386">
        <v>1297265</v>
      </c>
      <c r="K386">
        <v>1290238</v>
      </c>
      <c r="L386">
        <v>5286</v>
      </c>
      <c r="M386" s="9">
        <v>4.0969185529999997E-3</v>
      </c>
      <c r="N386">
        <v>784337</v>
      </c>
      <c r="O386" s="9">
        <v>0.60790102291000003</v>
      </c>
      <c r="P386">
        <v>224432</v>
      </c>
      <c r="Q386" s="9">
        <v>0.17394620217000001</v>
      </c>
      <c r="R386">
        <f>Telengana_Results_2024[[#This Row],[BJP votes]]-Telengana_Results_2024[[#This Row],[Max Votes Other Than BJP]]</f>
        <v>-559905</v>
      </c>
      <c r="S386" s="10">
        <f>Telengana_Results_2024[[#This Row],[BJP vote share]]-Telengana_Results_2024[[#This Row],[Max Vote share other than bjp ]]</f>
        <v>-0.43395482074000002</v>
      </c>
      <c r="T386">
        <v>1726204</v>
      </c>
      <c r="U386" s="8">
        <v>0.75151314677000003</v>
      </c>
      <c r="V386" s="1" t="s">
        <v>68</v>
      </c>
    </row>
    <row r="387" spans="1:22" x14ac:dyDescent="0.35">
      <c r="A387">
        <v>2024</v>
      </c>
      <c r="B387" s="1" t="s">
        <v>19</v>
      </c>
      <c r="C387" s="1" t="s">
        <v>653</v>
      </c>
      <c r="D387" s="1" t="s">
        <v>1231</v>
      </c>
      <c r="E387" s="1" t="s">
        <v>21</v>
      </c>
      <c r="F387" s="1" t="s">
        <v>48</v>
      </c>
      <c r="G387" s="1" t="s">
        <v>67</v>
      </c>
      <c r="H387" s="1" t="s">
        <v>798</v>
      </c>
      <c r="I387" s="1" t="s">
        <v>749</v>
      </c>
      <c r="J387">
        <v>1297265</v>
      </c>
      <c r="K387">
        <v>1290238</v>
      </c>
      <c r="L387">
        <v>5122</v>
      </c>
      <c r="M387" s="9">
        <v>3.9698102211000001E-3</v>
      </c>
      <c r="N387">
        <v>784337</v>
      </c>
      <c r="O387" s="9">
        <v>0.60790102291000003</v>
      </c>
      <c r="P387">
        <v>224432</v>
      </c>
      <c r="Q387" s="9">
        <v>0.17394620217000001</v>
      </c>
      <c r="R387">
        <f>Telengana_Results_2024[[#This Row],[BJP votes]]-Telengana_Results_2024[[#This Row],[Max Votes Other Than BJP]]</f>
        <v>-559905</v>
      </c>
      <c r="S387" s="10">
        <f>Telengana_Results_2024[[#This Row],[BJP vote share]]-Telengana_Results_2024[[#This Row],[Max Vote share other than bjp ]]</f>
        <v>-0.43395482074000002</v>
      </c>
      <c r="T387">
        <v>1726204</v>
      </c>
      <c r="U387" s="8">
        <v>0.75151314677000003</v>
      </c>
      <c r="V387" s="1" t="s">
        <v>68</v>
      </c>
    </row>
    <row r="388" spans="1:22" x14ac:dyDescent="0.35">
      <c r="A388">
        <v>2024</v>
      </c>
      <c r="B388" s="1" t="s">
        <v>19</v>
      </c>
      <c r="C388" s="1" t="s">
        <v>653</v>
      </c>
      <c r="D388" s="1" t="s">
        <v>681</v>
      </c>
      <c r="E388" s="1" t="s">
        <v>21</v>
      </c>
      <c r="F388" s="1" t="s">
        <v>618</v>
      </c>
      <c r="G388" s="1" t="s">
        <v>112</v>
      </c>
      <c r="H388" s="1" t="s">
        <v>53</v>
      </c>
      <c r="I388" s="1" t="s">
        <v>791</v>
      </c>
      <c r="J388">
        <v>1297265</v>
      </c>
      <c r="K388">
        <v>1290238</v>
      </c>
      <c r="L388">
        <v>3569</v>
      </c>
      <c r="M388" s="9">
        <v>2.7661563214999999E-3</v>
      </c>
      <c r="N388">
        <v>784337</v>
      </c>
      <c r="O388" s="9">
        <v>0.60790102291000003</v>
      </c>
      <c r="P388">
        <v>224432</v>
      </c>
      <c r="Q388" s="9">
        <v>0.17394620217000001</v>
      </c>
      <c r="R388">
        <f>Telengana_Results_2024[[#This Row],[BJP votes]]-Telengana_Results_2024[[#This Row],[Max Votes Other Than BJP]]</f>
        <v>-559905</v>
      </c>
      <c r="S388" s="10">
        <f>Telengana_Results_2024[[#This Row],[BJP vote share]]-Telengana_Results_2024[[#This Row],[Max Vote share other than bjp ]]</f>
        <v>-0.43395482074000002</v>
      </c>
      <c r="T388">
        <v>1726204</v>
      </c>
      <c r="U388" s="8">
        <v>0.75151314677000003</v>
      </c>
      <c r="V388" s="1" t="s">
        <v>68</v>
      </c>
    </row>
    <row r="389" spans="1:22" x14ac:dyDescent="0.35">
      <c r="A389">
        <v>2024</v>
      </c>
      <c r="B389" s="1" t="s">
        <v>19</v>
      </c>
      <c r="C389" s="1" t="s">
        <v>653</v>
      </c>
      <c r="D389" s="1" t="s">
        <v>675</v>
      </c>
      <c r="E389" s="1" t="s">
        <v>21</v>
      </c>
      <c r="F389" s="1" t="s">
        <v>379</v>
      </c>
      <c r="G389" s="1" t="s">
        <v>112</v>
      </c>
      <c r="H389" s="1" t="s">
        <v>53</v>
      </c>
      <c r="I389" s="1" t="s">
        <v>206</v>
      </c>
      <c r="J389">
        <v>1297265</v>
      </c>
      <c r="K389">
        <v>1290238</v>
      </c>
      <c r="L389">
        <v>3212</v>
      </c>
      <c r="M389" s="9">
        <v>2.4894631843000001E-3</v>
      </c>
      <c r="N389">
        <v>784337</v>
      </c>
      <c r="O389" s="9">
        <v>0.60790102291000003</v>
      </c>
      <c r="P389">
        <v>224432</v>
      </c>
      <c r="Q389" s="9">
        <v>0.17394620217000001</v>
      </c>
      <c r="R389">
        <f>Telengana_Results_2024[[#This Row],[BJP votes]]-Telengana_Results_2024[[#This Row],[Max Votes Other Than BJP]]</f>
        <v>-559905</v>
      </c>
      <c r="S389" s="10">
        <f>Telengana_Results_2024[[#This Row],[BJP vote share]]-Telengana_Results_2024[[#This Row],[Max Vote share other than bjp ]]</f>
        <v>-0.43395482074000002</v>
      </c>
      <c r="T389">
        <v>1726204</v>
      </c>
      <c r="U389" s="8">
        <v>0.75151314677000003</v>
      </c>
      <c r="V389" s="1" t="s">
        <v>68</v>
      </c>
    </row>
    <row r="390" spans="1:22" x14ac:dyDescent="0.35">
      <c r="A390">
        <v>2024</v>
      </c>
      <c r="B390" s="1" t="s">
        <v>19</v>
      </c>
      <c r="C390" s="1" t="s">
        <v>653</v>
      </c>
      <c r="D390" s="1" t="s">
        <v>1232</v>
      </c>
      <c r="E390" s="1" t="s">
        <v>21</v>
      </c>
      <c r="F390" s="1" t="s">
        <v>205</v>
      </c>
      <c r="G390" s="1" t="s">
        <v>67</v>
      </c>
      <c r="H390" s="1" t="s">
        <v>53</v>
      </c>
      <c r="I390" s="1" t="s">
        <v>796</v>
      </c>
      <c r="J390">
        <v>1297265</v>
      </c>
      <c r="K390">
        <v>1290238</v>
      </c>
      <c r="L390">
        <v>2566</v>
      </c>
      <c r="M390" s="9">
        <v>1.9887803645999998E-3</v>
      </c>
      <c r="N390">
        <v>784337</v>
      </c>
      <c r="O390" s="9">
        <v>0.60790102291000003</v>
      </c>
      <c r="P390">
        <v>224432</v>
      </c>
      <c r="Q390" s="9">
        <v>0.17394620217000001</v>
      </c>
      <c r="R390">
        <f>Telengana_Results_2024[[#This Row],[BJP votes]]-Telengana_Results_2024[[#This Row],[Max Votes Other Than BJP]]</f>
        <v>-559905</v>
      </c>
      <c r="S390" s="10">
        <f>Telengana_Results_2024[[#This Row],[BJP vote share]]-Telengana_Results_2024[[#This Row],[Max Vote share other than bjp ]]</f>
        <v>-0.43395482074000002</v>
      </c>
      <c r="T390">
        <v>1726204</v>
      </c>
      <c r="U390" s="8">
        <v>0.75151314677000003</v>
      </c>
      <c r="V390" s="1" t="s">
        <v>68</v>
      </c>
    </row>
    <row r="391" spans="1:22" x14ac:dyDescent="0.35">
      <c r="A391">
        <v>2024</v>
      </c>
      <c r="B391" s="1" t="s">
        <v>19</v>
      </c>
      <c r="C391" s="1" t="s">
        <v>653</v>
      </c>
      <c r="D391" s="1" t="s">
        <v>1233</v>
      </c>
      <c r="E391" s="1" t="s">
        <v>21</v>
      </c>
      <c r="F391" s="1" t="s">
        <v>249</v>
      </c>
      <c r="G391" s="1" t="s">
        <v>112</v>
      </c>
      <c r="H391" s="1" t="s">
        <v>53</v>
      </c>
      <c r="I391" s="1" t="s">
        <v>425</v>
      </c>
      <c r="J391">
        <v>1297265</v>
      </c>
      <c r="K391">
        <v>1290238</v>
      </c>
      <c r="L391">
        <v>2504</v>
      </c>
      <c r="M391" s="9">
        <v>1.9407272146999999E-3</v>
      </c>
      <c r="N391">
        <v>784337</v>
      </c>
      <c r="O391" s="9">
        <v>0.60790102291000003</v>
      </c>
      <c r="P391">
        <v>224432</v>
      </c>
      <c r="Q391" s="9">
        <v>0.17394620217000001</v>
      </c>
      <c r="R391">
        <f>Telengana_Results_2024[[#This Row],[BJP votes]]-Telengana_Results_2024[[#This Row],[Max Votes Other Than BJP]]</f>
        <v>-559905</v>
      </c>
      <c r="S391" s="10">
        <f>Telengana_Results_2024[[#This Row],[BJP vote share]]-Telengana_Results_2024[[#This Row],[Max Vote share other than bjp ]]</f>
        <v>-0.43395482074000002</v>
      </c>
      <c r="T391">
        <v>1726204</v>
      </c>
      <c r="U391" s="8">
        <v>0.75151314677000003</v>
      </c>
      <c r="V391" s="1" t="s">
        <v>68</v>
      </c>
    </row>
    <row r="392" spans="1:22" x14ac:dyDescent="0.35">
      <c r="A392">
        <v>2024</v>
      </c>
      <c r="B392" s="1" t="s">
        <v>19</v>
      </c>
      <c r="C392" s="1" t="s">
        <v>653</v>
      </c>
      <c r="D392" s="1" t="s">
        <v>1234</v>
      </c>
      <c r="E392" s="1" t="s">
        <v>21</v>
      </c>
      <c r="F392" s="1" t="s">
        <v>143</v>
      </c>
      <c r="G392" s="1" t="s">
        <v>67</v>
      </c>
      <c r="H392" s="1" t="s">
        <v>53</v>
      </c>
      <c r="I392" s="1" t="s">
        <v>284</v>
      </c>
      <c r="J392">
        <v>1297265</v>
      </c>
      <c r="K392">
        <v>1290238</v>
      </c>
      <c r="L392">
        <v>1779</v>
      </c>
      <c r="M392" s="9">
        <v>1.3788153813000001E-3</v>
      </c>
      <c r="N392">
        <v>784337</v>
      </c>
      <c r="O392" s="9">
        <v>0.60790102291000003</v>
      </c>
      <c r="P392">
        <v>224432</v>
      </c>
      <c r="Q392" s="9">
        <v>0.17394620217000001</v>
      </c>
      <c r="R392">
        <f>Telengana_Results_2024[[#This Row],[BJP votes]]-Telengana_Results_2024[[#This Row],[Max Votes Other Than BJP]]</f>
        <v>-559905</v>
      </c>
      <c r="S392" s="10">
        <f>Telengana_Results_2024[[#This Row],[BJP vote share]]-Telengana_Results_2024[[#This Row],[Max Vote share other than bjp ]]</f>
        <v>-0.43395482074000002</v>
      </c>
      <c r="T392">
        <v>1726204</v>
      </c>
      <c r="U392" s="8">
        <v>0.75151314677000003</v>
      </c>
      <c r="V392" s="1" t="s">
        <v>68</v>
      </c>
    </row>
    <row r="393" spans="1:22" x14ac:dyDescent="0.35">
      <c r="A393">
        <v>2024</v>
      </c>
      <c r="B393" s="1" t="s">
        <v>19</v>
      </c>
      <c r="C393" s="1" t="s">
        <v>653</v>
      </c>
      <c r="D393" s="1" t="s">
        <v>1235</v>
      </c>
      <c r="E393" s="1" t="s">
        <v>21</v>
      </c>
      <c r="F393" s="1" t="s">
        <v>618</v>
      </c>
      <c r="G393" s="1" t="s">
        <v>112</v>
      </c>
      <c r="H393" s="1" t="s">
        <v>53</v>
      </c>
      <c r="I393" s="1" t="s">
        <v>851</v>
      </c>
      <c r="J393">
        <v>1297265</v>
      </c>
      <c r="K393">
        <v>1290238</v>
      </c>
      <c r="L393">
        <v>1662</v>
      </c>
      <c r="M393" s="9">
        <v>1.2881344372E-3</v>
      </c>
      <c r="N393">
        <v>784337</v>
      </c>
      <c r="O393" s="9">
        <v>0.60790102291000003</v>
      </c>
      <c r="P393">
        <v>224432</v>
      </c>
      <c r="Q393" s="9">
        <v>0.17394620217000001</v>
      </c>
      <c r="R393">
        <f>Telengana_Results_2024[[#This Row],[BJP votes]]-Telengana_Results_2024[[#This Row],[Max Votes Other Than BJP]]</f>
        <v>-559905</v>
      </c>
      <c r="S393" s="10">
        <f>Telengana_Results_2024[[#This Row],[BJP vote share]]-Telengana_Results_2024[[#This Row],[Max Vote share other than bjp ]]</f>
        <v>-0.43395482074000002</v>
      </c>
      <c r="T393">
        <v>1726204</v>
      </c>
      <c r="U393" s="8">
        <v>0.75151314677000003</v>
      </c>
      <c r="V393" s="1" t="s">
        <v>68</v>
      </c>
    </row>
    <row r="394" spans="1:22" x14ac:dyDescent="0.35">
      <c r="A394">
        <v>2024</v>
      </c>
      <c r="B394" s="1" t="s">
        <v>19</v>
      </c>
      <c r="C394" s="1" t="s">
        <v>653</v>
      </c>
      <c r="D394" s="1" t="s">
        <v>1236</v>
      </c>
      <c r="E394" s="1" t="s">
        <v>21</v>
      </c>
      <c r="F394" s="1" t="s">
        <v>117</v>
      </c>
      <c r="G394" s="1" t="s">
        <v>112</v>
      </c>
      <c r="H394" s="1" t="s">
        <v>53</v>
      </c>
      <c r="I394" s="1" t="s">
        <v>818</v>
      </c>
      <c r="J394">
        <v>1297265</v>
      </c>
      <c r="K394">
        <v>1290238</v>
      </c>
      <c r="L394">
        <v>1547</v>
      </c>
      <c r="M394" s="9">
        <v>1.1990035947000001E-3</v>
      </c>
      <c r="N394">
        <v>784337</v>
      </c>
      <c r="O394" s="9">
        <v>0.60790102291000003</v>
      </c>
      <c r="P394">
        <v>224432</v>
      </c>
      <c r="Q394" s="9">
        <v>0.17394620217000001</v>
      </c>
      <c r="R394">
        <f>Telengana_Results_2024[[#This Row],[BJP votes]]-Telengana_Results_2024[[#This Row],[Max Votes Other Than BJP]]</f>
        <v>-559905</v>
      </c>
      <c r="S394" s="10">
        <f>Telengana_Results_2024[[#This Row],[BJP vote share]]-Telengana_Results_2024[[#This Row],[Max Vote share other than bjp ]]</f>
        <v>-0.43395482074000002</v>
      </c>
      <c r="T394">
        <v>1726204</v>
      </c>
      <c r="U394" s="8">
        <v>0.75151314677000003</v>
      </c>
      <c r="V394" s="1" t="s">
        <v>68</v>
      </c>
    </row>
    <row r="395" spans="1:22" x14ac:dyDescent="0.35">
      <c r="A395">
        <v>2024</v>
      </c>
      <c r="B395" s="1" t="s">
        <v>19</v>
      </c>
      <c r="C395" s="1" t="s">
        <v>653</v>
      </c>
      <c r="D395" s="1" t="s">
        <v>1237</v>
      </c>
      <c r="E395" s="1" t="s">
        <v>21</v>
      </c>
      <c r="F395" s="1" t="s">
        <v>160</v>
      </c>
      <c r="G395" s="1" t="s">
        <v>67</v>
      </c>
      <c r="H395" s="1" t="s">
        <v>92</v>
      </c>
      <c r="I395" s="1" t="s">
        <v>892</v>
      </c>
      <c r="J395">
        <v>1297265</v>
      </c>
      <c r="K395">
        <v>1290238</v>
      </c>
      <c r="L395">
        <v>1040</v>
      </c>
      <c r="M395" s="9">
        <v>8.0605283675999997E-4</v>
      </c>
      <c r="N395">
        <v>784337</v>
      </c>
      <c r="O395" s="9">
        <v>0.60790102291000003</v>
      </c>
      <c r="P395">
        <v>224432</v>
      </c>
      <c r="Q395" s="9">
        <v>0.17394620217000001</v>
      </c>
      <c r="R395">
        <f>Telengana_Results_2024[[#This Row],[BJP votes]]-Telengana_Results_2024[[#This Row],[Max Votes Other Than BJP]]</f>
        <v>-559905</v>
      </c>
      <c r="S395" s="10">
        <f>Telengana_Results_2024[[#This Row],[BJP vote share]]-Telengana_Results_2024[[#This Row],[Max Vote share other than bjp ]]</f>
        <v>-0.43395482074000002</v>
      </c>
      <c r="T395">
        <v>1726204</v>
      </c>
      <c r="U395" s="8">
        <v>0.75151314677000003</v>
      </c>
      <c r="V395" s="1" t="s">
        <v>68</v>
      </c>
    </row>
    <row r="396" spans="1:22" x14ac:dyDescent="0.35">
      <c r="A396">
        <v>2024</v>
      </c>
      <c r="B396" s="1" t="s">
        <v>19</v>
      </c>
      <c r="C396" s="1" t="s">
        <v>653</v>
      </c>
      <c r="D396" s="1" t="s">
        <v>1238</v>
      </c>
      <c r="E396" s="1" t="s">
        <v>21</v>
      </c>
      <c r="F396" s="1" t="s">
        <v>165</v>
      </c>
      <c r="G396" s="1" t="s">
        <v>112</v>
      </c>
      <c r="H396" s="1" t="s">
        <v>53</v>
      </c>
      <c r="I396" s="1" t="s">
        <v>46</v>
      </c>
      <c r="J396">
        <v>1297265</v>
      </c>
      <c r="K396">
        <v>1290238</v>
      </c>
      <c r="L396">
        <v>947</v>
      </c>
      <c r="M396" s="9">
        <v>7.3397311193999998E-4</v>
      </c>
      <c r="N396">
        <v>784337</v>
      </c>
      <c r="O396" s="9">
        <v>0.60790102291000003</v>
      </c>
      <c r="P396">
        <v>224432</v>
      </c>
      <c r="Q396" s="9">
        <v>0.17394620217000001</v>
      </c>
      <c r="R396">
        <f>Telengana_Results_2024[[#This Row],[BJP votes]]-Telengana_Results_2024[[#This Row],[Max Votes Other Than BJP]]</f>
        <v>-559905</v>
      </c>
      <c r="S396" s="10">
        <f>Telengana_Results_2024[[#This Row],[BJP vote share]]-Telengana_Results_2024[[#This Row],[Max Vote share other than bjp ]]</f>
        <v>-0.43395482074000002</v>
      </c>
      <c r="T396">
        <v>1726204</v>
      </c>
      <c r="U396" s="8">
        <v>0.75151314677000003</v>
      </c>
      <c r="V396" s="1" t="s">
        <v>68</v>
      </c>
    </row>
    <row r="397" spans="1:22" x14ac:dyDescent="0.35">
      <c r="A397">
        <v>2024</v>
      </c>
      <c r="B397" s="1" t="s">
        <v>19</v>
      </c>
      <c r="C397" s="1" t="s">
        <v>653</v>
      </c>
      <c r="D397" s="1" t="s">
        <v>1239</v>
      </c>
      <c r="E397" s="1" t="s">
        <v>35</v>
      </c>
      <c r="F397" s="1" t="s">
        <v>1240</v>
      </c>
      <c r="G397" s="1" t="s">
        <v>112</v>
      </c>
      <c r="H397" s="1" t="s">
        <v>860</v>
      </c>
      <c r="I397" s="1" t="s">
        <v>163</v>
      </c>
      <c r="J397">
        <v>1297265</v>
      </c>
      <c r="K397">
        <v>1290238</v>
      </c>
      <c r="L397">
        <v>846</v>
      </c>
      <c r="M397" s="9">
        <v>6.5569298067E-4</v>
      </c>
      <c r="N397">
        <v>784337</v>
      </c>
      <c r="O397" s="9">
        <v>0.60790102291000003</v>
      </c>
      <c r="P397">
        <v>224432</v>
      </c>
      <c r="Q397" s="9">
        <v>0.17394620217000001</v>
      </c>
      <c r="R397">
        <f>Telengana_Results_2024[[#This Row],[BJP votes]]-Telengana_Results_2024[[#This Row],[Max Votes Other Than BJP]]</f>
        <v>-559905</v>
      </c>
      <c r="S397" s="10">
        <f>Telengana_Results_2024[[#This Row],[BJP vote share]]-Telengana_Results_2024[[#This Row],[Max Vote share other than bjp ]]</f>
        <v>-0.43395482074000002</v>
      </c>
      <c r="T397">
        <v>1726204</v>
      </c>
      <c r="U397" s="8">
        <v>0.75151314677000003</v>
      </c>
      <c r="V397" s="1" t="s">
        <v>68</v>
      </c>
    </row>
    <row r="398" spans="1:22" x14ac:dyDescent="0.35">
      <c r="A398">
        <v>2024</v>
      </c>
      <c r="B398" s="1" t="s">
        <v>19</v>
      </c>
      <c r="C398" s="1" t="s">
        <v>653</v>
      </c>
      <c r="D398" s="1" t="s">
        <v>1241</v>
      </c>
      <c r="E398" s="1" t="s">
        <v>21</v>
      </c>
      <c r="F398" s="1" t="s">
        <v>48</v>
      </c>
      <c r="G398" s="1" t="s">
        <v>112</v>
      </c>
      <c r="H398" s="1" t="s">
        <v>53</v>
      </c>
      <c r="I398" s="1" t="s">
        <v>54</v>
      </c>
      <c r="J398">
        <v>1297265</v>
      </c>
      <c r="K398">
        <v>1290238</v>
      </c>
      <c r="L398">
        <v>666</v>
      </c>
      <c r="M398" s="9">
        <v>5.1618383585000003E-4</v>
      </c>
      <c r="N398">
        <v>784337</v>
      </c>
      <c r="O398" s="9">
        <v>0.60790102291000003</v>
      </c>
      <c r="P398">
        <v>224432</v>
      </c>
      <c r="Q398" s="9">
        <v>0.17394620217000001</v>
      </c>
      <c r="R398">
        <f>Telengana_Results_2024[[#This Row],[BJP votes]]-Telengana_Results_2024[[#This Row],[Max Votes Other Than BJP]]</f>
        <v>-559905</v>
      </c>
      <c r="S398" s="10">
        <f>Telengana_Results_2024[[#This Row],[BJP vote share]]-Telengana_Results_2024[[#This Row],[Max Vote share other than bjp ]]</f>
        <v>-0.43395482074000002</v>
      </c>
      <c r="T398">
        <v>1726204</v>
      </c>
      <c r="U398" s="8">
        <v>0.75151314677000003</v>
      </c>
      <c r="V398" s="1" t="s">
        <v>68</v>
      </c>
    </row>
    <row r="399" spans="1:22" x14ac:dyDescent="0.35">
      <c r="A399">
        <v>2024</v>
      </c>
      <c r="B399" s="1" t="s">
        <v>19</v>
      </c>
      <c r="C399" s="1" t="s">
        <v>653</v>
      </c>
      <c r="D399" s="1" t="s">
        <v>1242</v>
      </c>
      <c r="E399" s="1" t="s">
        <v>21</v>
      </c>
      <c r="F399" s="1" t="s">
        <v>44</v>
      </c>
      <c r="G399" s="1" t="s">
        <v>67</v>
      </c>
      <c r="H399" s="1" t="s">
        <v>53</v>
      </c>
      <c r="I399" s="1" t="s">
        <v>451</v>
      </c>
      <c r="J399">
        <v>1297265</v>
      </c>
      <c r="K399">
        <v>1290238</v>
      </c>
      <c r="L399">
        <v>661</v>
      </c>
      <c r="M399" s="9">
        <v>5.1230858183000003E-4</v>
      </c>
      <c r="N399">
        <v>784337</v>
      </c>
      <c r="O399" s="9">
        <v>0.60790102291000003</v>
      </c>
      <c r="P399">
        <v>224432</v>
      </c>
      <c r="Q399" s="9">
        <v>0.17394620217000001</v>
      </c>
      <c r="R399">
        <f>Telengana_Results_2024[[#This Row],[BJP votes]]-Telengana_Results_2024[[#This Row],[Max Votes Other Than BJP]]</f>
        <v>-559905</v>
      </c>
      <c r="S399" s="10">
        <f>Telengana_Results_2024[[#This Row],[BJP vote share]]-Telengana_Results_2024[[#This Row],[Max Vote share other than bjp ]]</f>
        <v>-0.43395482074000002</v>
      </c>
      <c r="T399">
        <v>1726204</v>
      </c>
      <c r="U399" s="8">
        <v>0.75151314677000003</v>
      </c>
      <c r="V399" s="1" t="s">
        <v>68</v>
      </c>
    </row>
    <row r="400" spans="1:22" x14ac:dyDescent="0.35">
      <c r="A400">
        <v>2024</v>
      </c>
      <c r="B400" s="1" t="s">
        <v>19</v>
      </c>
      <c r="C400" s="1" t="s">
        <v>653</v>
      </c>
      <c r="D400" s="1" t="s">
        <v>1243</v>
      </c>
      <c r="E400" s="1" t="s">
        <v>21</v>
      </c>
      <c r="F400" s="1" t="s">
        <v>183</v>
      </c>
      <c r="G400" s="1" t="s">
        <v>67</v>
      </c>
      <c r="H400" s="1" t="s">
        <v>53</v>
      </c>
      <c r="I400" s="1" t="s">
        <v>151</v>
      </c>
      <c r="J400">
        <v>1297265</v>
      </c>
      <c r="K400">
        <v>1290238</v>
      </c>
      <c r="L400">
        <v>514</v>
      </c>
      <c r="M400" s="9">
        <v>3.9837611355000001E-4</v>
      </c>
      <c r="N400">
        <v>784337</v>
      </c>
      <c r="O400" s="9">
        <v>0.60790102291000003</v>
      </c>
      <c r="P400">
        <v>224432</v>
      </c>
      <c r="Q400" s="9">
        <v>0.17394620217000001</v>
      </c>
      <c r="R400">
        <f>Telengana_Results_2024[[#This Row],[BJP votes]]-Telengana_Results_2024[[#This Row],[Max Votes Other Than BJP]]</f>
        <v>-559905</v>
      </c>
      <c r="S400" s="10">
        <f>Telengana_Results_2024[[#This Row],[BJP vote share]]-Telengana_Results_2024[[#This Row],[Max Vote share other than bjp ]]</f>
        <v>-0.43395482074000002</v>
      </c>
      <c r="T400">
        <v>1726204</v>
      </c>
      <c r="U400" s="8">
        <v>0.75151314677000003</v>
      </c>
      <c r="V400" s="1" t="s">
        <v>68</v>
      </c>
    </row>
    <row r="401" spans="1:22" x14ac:dyDescent="0.35">
      <c r="A401">
        <v>2024</v>
      </c>
      <c r="B401" s="1" t="s">
        <v>19</v>
      </c>
      <c r="C401" s="1" t="s">
        <v>1244</v>
      </c>
      <c r="D401" s="1" t="s">
        <v>1245</v>
      </c>
      <c r="E401" s="1" t="s">
        <v>21</v>
      </c>
      <c r="F401" s="1" t="s">
        <v>59</v>
      </c>
      <c r="G401" s="1" t="s">
        <v>112</v>
      </c>
      <c r="H401" s="1" t="s">
        <v>29</v>
      </c>
      <c r="I401" s="1" t="s">
        <v>30</v>
      </c>
      <c r="J401">
        <v>1401721</v>
      </c>
      <c r="K401">
        <v>1396750</v>
      </c>
      <c r="L401">
        <v>629143</v>
      </c>
      <c r="M401" s="9">
        <v>0.45043350635000001</v>
      </c>
      <c r="N401">
        <v>629143</v>
      </c>
      <c r="O401" s="9">
        <v>0.45043350635000001</v>
      </c>
      <c r="P401">
        <v>406973</v>
      </c>
      <c r="Q401" s="9">
        <v>0.29137139788999999</v>
      </c>
      <c r="R401">
        <f>Telengana_Results_2024[[#This Row],[BJP votes]]-Telengana_Results_2024[[#This Row],[Max Votes Other Than BJP]]</f>
        <v>-222170</v>
      </c>
      <c r="S401" s="10">
        <f>Telengana_Results_2024[[#This Row],[BJP vote share]]-Telengana_Results_2024[[#This Row],[Max Vote share other than bjp ]]</f>
        <v>-0.15906210846000002</v>
      </c>
      <c r="T401">
        <v>1809241</v>
      </c>
      <c r="U401" s="8">
        <v>0.77475637574</v>
      </c>
      <c r="V401" s="1" t="s">
        <v>68</v>
      </c>
    </row>
    <row r="402" spans="1:22" x14ac:dyDescent="0.35">
      <c r="A402">
        <v>2024</v>
      </c>
      <c r="B402" s="1" t="s">
        <v>19</v>
      </c>
      <c r="C402" s="1" t="s">
        <v>1244</v>
      </c>
      <c r="D402" s="1" t="s">
        <v>1246</v>
      </c>
      <c r="E402" s="1" t="s">
        <v>21</v>
      </c>
      <c r="F402" s="1" t="s">
        <v>703</v>
      </c>
      <c r="G402" s="1" t="s">
        <v>112</v>
      </c>
      <c r="H402" s="1" t="s">
        <v>32</v>
      </c>
      <c r="I402" s="1" t="s">
        <v>33</v>
      </c>
      <c r="J402">
        <v>1401721</v>
      </c>
      <c r="K402">
        <v>1396750</v>
      </c>
      <c r="L402">
        <v>406973</v>
      </c>
      <c r="M402" s="9">
        <v>0.29137139788999999</v>
      </c>
      <c r="N402">
        <v>629143</v>
      </c>
      <c r="O402" s="9">
        <v>0.45043350635000001</v>
      </c>
      <c r="P402">
        <v>406973</v>
      </c>
      <c r="Q402" s="9">
        <v>0.29137139788999999</v>
      </c>
      <c r="R402">
        <f>Telengana_Results_2024[[#This Row],[BJP votes]]-Telengana_Results_2024[[#This Row],[Max Votes Other Than BJP]]</f>
        <v>-222170</v>
      </c>
      <c r="S402" s="10">
        <f>Telengana_Results_2024[[#This Row],[BJP vote share]]-Telengana_Results_2024[[#This Row],[Max Vote share other than bjp ]]</f>
        <v>-0.15906210846000002</v>
      </c>
      <c r="T402">
        <v>1809241</v>
      </c>
      <c r="U402" s="8">
        <v>0.77475637574</v>
      </c>
      <c r="V402" s="1" t="s">
        <v>68</v>
      </c>
    </row>
    <row r="403" spans="1:22" x14ac:dyDescent="0.35">
      <c r="A403">
        <v>2024</v>
      </c>
      <c r="B403" s="1" t="s">
        <v>19</v>
      </c>
      <c r="C403" s="1" t="s">
        <v>1244</v>
      </c>
      <c r="D403" s="1" t="s">
        <v>1247</v>
      </c>
      <c r="E403" s="1" t="s">
        <v>21</v>
      </c>
      <c r="F403" s="1" t="s">
        <v>115</v>
      </c>
      <c r="G403" s="1" t="s">
        <v>112</v>
      </c>
      <c r="H403" s="1" t="s">
        <v>785</v>
      </c>
      <c r="I403" s="1" t="s">
        <v>25</v>
      </c>
      <c r="J403">
        <v>1401721</v>
      </c>
      <c r="K403">
        <v>1396750</v>
      </c>
      <c r="L403">
        <v>256187</v>
      </c>
      <c r="M403" s="9">
        <v>0.1834165026</v>
      </c>
      <c r="N403">
        <v>629143</v>
      </c>
      <c r="O403" s="9">
        <v>0.45043350635000001</v>
      </c>
      <c r="P403">
        <v>406973</v>
      </c>
      <c r="Q403" s="9">
        <v>0.29137139788999999</v>
      </c>
      <c r="R403">
        <f>Telengana_Results_2024[[#This Row],[BJP votes]]-Telengana_Results_2024[[#This Row],[Max Votes Other Than BJP]]</f>
        <v>-222170</v>
      </c>
      <c r="S403" s="10">
        <f>Telengana_Results_2024[[#This Row],[BJP vote share]]-Telengana_Results_2024[[#This Row],[Max Vote share other than bjp ]]</f>
        <v>-0.15906210846000002</v>
      </c>
      <c r="T403">
        <v>1809241</v>
      </c>
      <c r="U403" s="8">
        <v>0.77475637574</v>
      </c>
      <c r="V403" s="1" t="s">
        <v>68</v>
      </c>
    </row>
    <row r="404" spans="1:22" x14ac:dyDescent="0.35">
      <c r="A404">
        <v>2024</v>
      </c>
      <c r="B404" s="1" t="s">
        <v>19</v>
      </c>
      <c r="C404" s="1" t="s">
        <v>1244</v>
      </c>
      <c r="D404" s="1" t="s">
        <v>1248</v>
      </c>
      <c r="E404" s="1" t="s">
        <v>21</v>
      </c>
      <c r="F404" s="1" t="s">
        <v>160</v>
      </c>
      <c r="G404" s="1" t="s">
        <v>112</v>
      </c>
      <c r="H404" s="1" t="s">
        <v>1249</v>
      </c>
      <c r="I404" s="1" t="s">
        <v>658</v>
      </c>
      <c r="J404">
        <v>1401721</v>
      </c>
      <c r="K404">
        <v>1396750</v>
      </c>
      <c r="L404">
        <v>28730</v>
      </c>
      <c r="M404" s="9">
        <v>2.056917845E-2</v>
      </c>
      <c r="N404">
        <v>629143</v>
      </c>
      <c r="O404" s="9">
        <v>0.45043350635000001</v>
      </c>
      <c r="P404">
        <v>406973</v>
      </c>
      <c r="Q404" s="9">
        <v>0.29137139788999999</v>
      </c>
      <c r="R404">
        <f>Telengana_Results_2024[[#This Row],[BJP votes]]-Telengana_Results_2024[[#This Row],[Max Votes Other Than BJP]]</f>
        <v>-222170</v>
      </c>
      <c r="S404" s="10">
        <f>Telengana_Results_2024[[#This Row],[BJP vote share]]-Telengana_Results_2024[[#This Row],[Max Vote share other than bjp ]]</f>
        <v>-0.15906210846000002</v>
      </c>
      <c r="T404">
        <v>1809241</v>
      </c>
      <c r="U404" s="8">
        <v>0.77475637574</v>
      </c>
      <c r="V404" s="1" t="s">
        <v>68</v>
      </c>
    </row>
    <row r="405" spans="1:22" x14ac:dyDescent="0.35">
      <c r="A405">
        <v>2024</v>
      </c>
      <c r="B405" s="1" t="s">
        <v>19</v>
      </c>
      <c r="C405" s="1" t="s">
        <v>1244</v>
      </c>
      <c r="D405" s="1" t="s">
        <v>1250</v>
      </c>
      <c r="E405" s="1" t="s">
        <v>21</v>
      </c>
      <c r="F405" s="1" t="s">
        <v>95</v>
      </c>
      <c r="G405" s="1" t="s">
        <v>112</v>
      </c>
      <c r="H405" s="1" t="s">
        <v>787</v>
      </c>
      <c r="I405" s="1" t="s">
        <v>788</v>
      </c>
      <c r="J405">
        <v>1401721</v>
      </c>
      <c r="K405">
        <v>1396750</v>
      </c>
      <c r="L405">
        <v>8146</v>
      </c>
      <c r="M405" s="9">
        <v>5.8321102559999996E-3</v>
      </c>
      <c r="N405">
        <v>629143</v>
      </c>
      <c r="O405" s="9">
        <v>0.45043350635000001</v>
      </c>
      <c r="P405">
        <v>406973</v>
      </c>
      <c r="Q405" s="9">
        <v>0.29137139788999999</v>
      </c>
      <c r="R405">
        <f>Telengana_Results_2024[[#This Row],[BJP votes]]-Telengana_Results_2024[[#This Row],[Max Votes Other Than BJP]]</f>
        <v>-222170</v>
      </c>
      <c r="S405" s="10">
        <f>Telengana_Results_2024[[#This Row],[BJP vote share]]-Telengana_Results_2024[[#This Row],[Max Vote share other than bjp ]]</f>
        <v>-0.15906210846000002</v>
      </c>
      <c r="T405">
        <v>1809241</v>
      </c>
      <c r="U405" s="8">
        <v>0.77475637574</v>
      </c>
      <c r="V405" s="1" t="s">
        <v>68</v>
      </c>
    </row>
    <row r="406" spans="1:22" x14ac:dyDescent="0.35">
      <c r="A406">
        <v>2024</v>
      </c>
      <c r="B406" s="1" t="s">
        <v>19</v>
      </c>
      <c r="C406" s="1" t="s">
        <v>1244</v>
      </c>
      <c r="D406" s="1" t="s">
        <v>1251</v>
      </c>
      <c r="E406" s="1" t="s">
        <v>21</v>
      </c>
      <c r="F406" s="1" t="s">
        <v>80</v>
      </c>
      <c r="G406" s="1" t="s">
        <v>112</v>
      </c>
      <c r="H406" s="1" t="s">
        <v>72</v>
      </c>
      <c r="I406" s="1" t="s">
        <v>73</v>
      </c>
      <c r="J406">
        <v>1401721</v>
      </c>
      <c r="K406">
        <v>1396750</v>
      </c>
      <c r="L406">
        <v>7769</v>
      </c>
      <c r="M406" s="9">
        <v>5.5621979594999999E-3</v>
      </c>
      <c r="N406">
        <v>629143</v>
      </c>
      <c r="O406" s="9">
        <v>0.45043350635000001</v>
      </c>
      <c r="P406">
        <v>406973</v>
      </c>
      <c r="Q406" s="9">
        <v>0.29137139788999999</v>
      </c>
      <c r="R406">
        <f>Telengana_Results_2024[[#This Row],[BJP votes]]-Telengana_Results_2024[[#This Row],[Max Votes Other Than BJP]]</f>
        <v>-222170</v>
      </c>
      <c r="S406" s="10">
        <f>Telengana_Results_2024[[#This Row],[BJP vote share]]-Telengana_Results_2024[[#This Row],[Max Vote share other than bjp ]]</f>
        <v>-0.15906210846000002</v>
      </c>
      <c r="T406">
        <v>1809241</v>
      </c>
      <c r="U406" s="8">
        <v>0.77475637574</v>
      </c>
      <c r="V406" s="1" t="s">
        <v>68</v>
      </c>
    </row>
    <row r="407" spans="1:22" x14ac:dyDescent="0.35">
      <c r="A407">
        <v>2024</v>
      </c>
      <c r="B407" s="1" t="s">
        <v>19</v>
      </c>
      <c r="C407" s="1" t="s">
        <v>1244</v>
      </c>
      <c r="D407" s="1" t="s">
        <v>1252</v>
      </c>
      <c r="E407" s="1" t="s">
        <v>21</v>
      </c>
      <c r="F407" s="1" t="s">
        <v>125</v>
      </c>
      <c r="G407" s="1" t="s">
        <v>67</v>
      </c>
      <c r="H407" s="1" t="s">
        <v>53</v>
      </c>
      <c r="I407" s="1" t="s">
        <v>820</v>
      </c>
      <c r="J407">
        <v>1401721</v>
      </c>
      <c r="K407">
        <v>1396750</v>
      </c>
      <c r="L407">
        <v>5750</v>
      </c>
      <c r="M407" s="9">
        <v>4.1166994809000001E-3</v>
      </c>
      <c r="N407">
        <v>629143</v>
      </c>
      <c r="O407" s="9">
        <v>0.45043350635000001</v>
      </c>
      <c r="P407">
        <v>406973</v>
      </c>
      <c r="Q407" s="9">
        <v>0.29137139788999999</v>
      </c>
      <c r="R407">
        <f>Telengana_Results_2024[[#This Row],[BJP votes]]-Telengana_Results_2024[[#This Row],[Max Votes Other Than BJP]]</f>
        <v>-222170</v>
      </c>
      <c r="S407" s="10">
        <f>Telengana_Results_2024[[#This Row],[BJP vote share]]-Telengana_Results_2024[[#This Row],[Max Vote share other than bjp ]]</f>
        <v>-0.15906210846000002</v>
      </c>
      <c r="T407">
        <v>1809241</v>
      </c>
      <c r="U407" s="8">
        <v>0.77475637574</v>
      </c>
      <c r="V407" s="1" t="s">
        <v>68</v>
      </c>
    </row>
    <row r="408" spans="1:22" x14ac:dyDescent="0.35">
      <c r="A408">
        <v>2024</v>
      </c>
      <c r="B408" s="1" t="s">
        <v>19</v>
      </c>
      <c r="C408" s="1" t="s">
        <v>1244</v>
      </c>
      <c r="D408" s="1" t="s">
        <v>1253</v>
      </c>
      <c r="E408" s="1" t="s">
        <v>21</v>
      </c>
      <c r="F408" s="1" t="s">
        <v>200</v>
      </c>
      <c r="G408" s="1" t="s">
        <v>112</v>
      </c>
      <c r="H408" s="1" t="s">
        <v>882</v>
      </c>
      <c r="I408" s="1" t="s">
        <v>796</v>
      </c>
      <c r="J408">
        <v>1401721</v>
      </c>
      <c r="K408">
        <v>1396750</v>
      </c>
      <c r="L408">
        <v>4718</v>
      </c>
      <c r="M408" s="9">
        <v>3.3778414176000001E-3</v>
      </c>
      <c r="N408">
        <v>629143</v>
      </c>
      <c r="O408" s="9">
        <v>0.45043350635000001</v>
      </c>
      <c r="P408">
        <v>406973</v>
      </c>
      <c r="Q408" s="9">
        <v>0.29137139788999999</v>
      </c>
      <c r="R408">
        <f>Telengana_Results_2024[[#This Row],[BJP votes]]-Telengana_Results_2024[[#This Row],[Max Votes Other Than BJP]]</f>
        <v>-222170</v>
      </c>
      <c r="S408" s="10">
        <f>Telengana_Results_2024[[#This Row],[BJP vote share]]-Telengana_Results_2024[[#This Row],[Max Vote share other than bjp ]]</f>
        <v>-0.15906210846000002</v>
      </c>
      <c r="T408">
        <v>1809241</v>
      </c>
      <c r="U408" s="8">
        <v>0.77475637574</v>
      </c>
      <c r="V408" s="1" t="s">
        <v>68</v>
      </c>
    </row>
    <row r="409" spans="1:22" x14ac:dyDescent="0.35">
      <c r="A409">
        <v>2024</v>
      </c>
      <c r="B409" s="1" t="s">
        <v>19</v>
      </c>
      <c r="C409" s="1" t="s">
        <v>1244</v>
      </c>
      <c r="D409" s="1" t="s">
        <v>1254</v>
      </c>
      <c r="E409" s="1" t="s">
        <v>21</v>
      </c>
      <c r="F409" s="1" t="s">
        <v>75</v>
      </c>
      <c r="G409" s="1" t="s">
        <v>67</v>
      </c>
      <c r="H409" s="1" t="s">
        <v>53</v>
      </c>
      <c r="I409" s="1" t="s">
        <v>184</v>
      </c>
      <c r="J409">
        <v>1401721</v>
      </c>
      <c r="K409">
        <v>1396750</v>
      </c>
      <c r="L409">
        <v>4675</v>
      </c>
      <c r="M409" s="9">
        <v>3.3470556648999999E-3</v>
      </c>
      <c r="N409">
        <v>629143</v>
      </c>
      <c r="O409" s="9">
        <v>0.45043350635000001</v>
      </c>
      <c r="P409">
        <v>406973</v>
      </c>
      <c r="Q409" s="9">
        <v>0.29137139788999999</v>
      </c>
      <c r="R409">
        <f>Telengana_Results_2024[[#This Row],[BJP votes]]-Telengana_Results_2024[[#This Row],[Max Votes Other Than BJP]]</f>
        <v>-222170</v>
      </c>
      <c r="S409" s="10">
        <f>Telengana_Results_2024[[#This Row],[BJP vote share]]-Telengana_Results_2024[[#This Row],[Max Vote share other than bjp ]]</f>
        <v>-0.15906210846000002</v>
      </c>
      <c r="T409">
        <v>1809241</v>
      </c>
      <c r="U409" s="8">
        <v>0.77475637574</v>
      </c>
      <c r="V409" s="1" t="s">
        <v>68</v>
      </c>
    </row>
    <row r="410" spans="1:22" x14ac:dyDescent="0.35">
      <c r="A410">
        <v>2024</v>
      </c>
      <c r="B410" s="1" t="s">
        <v>19</v>
      </c>
      <c r="C410" s="1" t="s">
        <v>1244</v>
      </c>
      <c r="D410" s="1" t="s">
        <v>64</v>
      </c>
      <c r="E410" s="1" t="s">
        <v>64</v>
      </c>
      <c r="F410" s="1" t="s">
        <v>64</v>
      </c>
      <c r="G410" s="1" t="s">
        <v>64</v>
      </c>
      <c r="H410" s="1" t="s">
        <v>64</v>
      </c>
      <c r="I410" s="1" t="s">
        <v>64</v>
      </c>
      <c r="J410">
        <v>1401721</v>
      </c>
      <c r="K410">
        <v>1396750</v>
      </c>
      <c r="L410">
        <v>4646</v>
      </c>
      <c r="M410" s="9">
        <v>3.3262931805999999E-3</v>
      </c>
      <c r="N410">
        <v>629143</v>
      </c>
      <c r="O410" s="9">
        <v>0.45043350635000001</v>
      </c>
      <c r="P410">
        <v>406973</v>
      </c>
      <c r="Q410" s="9">
        <v>0.29137139788999999</v>
      </c>
      <c r="R410">
        <f>Telengana_Results_2024[[#This Row],[BJP votes]]-Telengana_Results_2024[[#This Row],[Max Votes Other Than BJP]]</f>
        <v>-222170</v>
      </c>
      <c r="S410" s="10">
        <f>Telengana_Results_2024[[#This Row],[BJP vote share]]-Telengana_Results_2024[[#This Row],[Max Vote share other than bjp ]]</f>
        <v>-0.15906210846000002</v>
      </c>
      <c r="T410">
        <v>1809241</v>
      </c>
      <c r="U410" s="8">
        <v>0.77475637574</v>
      </c>
      <c r="V410" s="1" t="s">
        <v>68</v>
      </c>
    </row>
    <row r="411" spans="1:22" x14ac:dyDescent="0.35">
      <c r="A411">
        <v>2024</v>
      </c>
      <c r="B411" s="1" t="s">
        <v>19</v>
      </c>
      <c r="C411" s="1" t="s">
        <v>1244</v>
      </c>
      <c r="D411" s="1" t="s">
        <v>1255</v>
      </c>
      <c r="E411" s="1" t="s">
        <v>21</v>
      </c>
      <c r="F411" s="1" t="s">
        <v>160</v>
      </c>
      <c r="G411" s="1" t="s">
        <v>112</v>
      </c>
      <c r="H411" s="1" t="s">
        <v>1256</v>
      </c>
      <c r="I411" s="1" t="s">
        <v>425</v>
      </c>
      <c r="J411">
        <v>1401721</v>
      </c>
      <c r="K411">
        <v>1396750</v>
      </c>
      <c r="L411">
        <v>4433</v>
      </c>
      <c r="M411" s="9">
        <v>3.1737963129000002E-3</v>
      </c>
      <c r="N411">
        <v>629143</v>
      </c>
      <c r="O411" s="9">
        <v>0.45043350635000001</v>
      </c>
      <c r="P411">
        <v>406973</v>
      </c>
      <c r="Q411" s="9">
        <v>0.29137139788999999</v>
      </c>
      <c r="R411">
        <f>Telengana_Results_2024[[#This Row],[BJP votes]]-Telengana_Results_2024[[#This Row],[Max Votes Other Than BJP]]</f>
        <v>-222170</v>
      </c>
      <c r="S411" s="10">
        <f>Telengana_Results_2024[[#This Row],[BJP vote share]]-Telengana_Results_2024[[#This Row],[Max Vote share other than bjp ]]</f>
        <v>-0.15906210846000002</v>
      </c>
      <c r="T411">
        <v>1809241</v>
      </c>
      <c r="U411" s="8">
        <v>0.77475637574</v>
      </c>
      <c r="V411" s="1" t="s">
        <v>68</v>
      </c>
    </row>
    <row r="412" spans="1:22" x14ac:dyDescent="0.35">
      <c r="A412">
        <v>2024</v>
      </c>
      <c r="B412" s="1" t="s">
        <v>19</v>
      </c>
      <c r="C412" s="1" t="s">
        <v>1244</v>
      </c>
      <c r="D412" s="1" t="s">
        <v>1257</v>
      </c>
      <c r="E412" s="1" t="s">
        <v>21</v>
      </c>
      <c r="F412" s="1" t="s">
        <v>165</v>
      </c>
      <c r="G412" s="1" t="s">
        <v>67</v>
      </c>
      <c r="H412" s="1" t="s">
        <v>122</v>
      </c>
      <c r="I412" s="1" t="s">
        <v>948</v>
      </c>
      <c r="J412">
        <v>1401721</v>
      </c>
      <c r="K412">
        <v>1396750</v>
      </c>
      <c r="L412">
        <v>4304</v>
      </c>
      <c r="M412" s="9">
        <v>3.0814390549E-3</v>
      </c>
      <c r="N412">
        <v>629143</v>
      </c>
      <c r="O412" s="9">
        <v>0.45043350635000001</v>
      </c>
      <c r="P412">
        <v>406973</v>
      </c>
      <c r="Q412" s="9">
        <v>0.29137139788999999</v>
      </c>
      <c r="R412">
        <f>Telengana_Results_2024[[#This Row],[BJP votes]]-Telengana_Results_2024[[#This Row],[Max Votes Other Than BJP]]</f>
        <v>-222170</v>
      </c>
      <c r="S412" s="10">
        <f>Telengana_Results_2024[[#This Row],[BJP vote share]]-Telengana_Results_2024[[#This Row],[Max Vote share other than bjp ]]</f>
        <v>-0.15906210846000002</v>
      </c>
      <c r="T412">
        <v>1809241</v>
      </c>
      <c r="U412" s="8">
        <v>0.77475637574</v>
      </c>
      <c r="V412" s="1" t="s">
        <v>68</v>
      </c>
    </row>
    <row r="413" spans="1:22" x14ac:dyDescent="0.35">
      <c r="A413">
        <v>2024</v>
      </c>
      <c r="B413" s="1" t="s">
        <v>19</v>
      </c>
      <c r="C413" s="1" t="s">
        <v>1244</v>
      </c>
      <c r="D413" s="1" t="s">
        <v>1258</v>
      </c>
      <c r="E413" s="1" t="s">
        <v>21</v>
      </c>
      <c r="F413" s="1" t="s">
        <v>165</v>
      </c>
      <c r="G413" s="1" t="s">
        <v>67</v>
      </c>
      <c r="H413" s="1" t="s">
        <v>798</v>
      </c>
      <c r="I413" s="1" t="s">
        <v>749</v>
      </c>
      <c r="J413">
        <v>1401721</v>
      </c>
      <c r="K413">
        <v>1396750</v>
      </c>
      <c r="L413">
        <v>4093</v>
      </c>
      <c r="M413" s="9">
        <v>2.9303740827E-3</v>
      </c>
      <c r="N413">
        <v>629143</v>
      </c>
      <c r="O413" s="9">
        <v>0.45043350635000001</v>
      </c>
      <c r="P413">
        <v>406973</v>
      </c>
      <c r="Q413" s="9">
        <v>0.29137139788999999</v>
      </c>
      <c r="R413">
        <f>Telengana_Results_2024[[#This Row],[BJP votes]]-Telengana_Results_2024[[#This Row],[Max Votes Other Than BJP]]</f>
        <v>-222170</v>
      </c>
      <c r="S413" s="10">
        <f>Telengana_Results_2024[[#This Row],[BJP vote share]]-Telengana_Results_2024[[#This Row],[Max Vote share other than bjp ]]</f>
        <v>-0.15906210846000002</v>
      </c>
      <c r="T413">
        <v>1809241</v>
      </c>
      <c r="U413" s="8">
        <v>0.77475637574</v>
      </c>
      <c r="V413" s="1" t="s">
        <v>68</v>
      </c>
    </row>
    <row r="414" spans="1:22" x14ac:dyDescent="0.35">
      <c r="A414">
        <v>2024</v>
      </c>
      <c r="B414" s="1" t="s">
        <v>19</v>
      </c>
      <c r="C414" s="1" t="s">
        <v>1244</v>
      </c>
      <c r="D414" s="1" t="s">
        <v>1259</v>
      </c>
      <c r="E414" s="1" t="s">
        <v>21</v>
      </c>
      <c r="F414" s="1" t="s">
        <v>52</v>
      </c>
      <c r="G414" s="1" t="s">
        <v>112</v>
      </c>
      <c r="H414" s="1" t="s">
        <v>536</v>
      </c>
      <c r="I414" s="1" t="s">
        <v>823</v>
      </c>
      <c r="J414">
        <v>1401721</v>
      </c>
      <c r="K414">
        <v>1396750</v>
      </c>
      <c r="L414">
        <v>3089</v>
      </c>
      <c r="M414" s="9">
        <v>2.2115625558999999E-3</v>
      </c>
      <c r="N414">
        <v>629143</v>
      </c>
      <c r="O414" s="9">
        <v>0.45043350635000001</v>
      </c>
      <c r="P414">
        <v>406973</v>
      </c>
      <c r="Q414" s="9">
        <v>0.29137139788999999</v>
      </c>
      <c r="R414">
        <f>Telengana_Results_2024[[#This Row],[BJP votes]]-Telengana_Results_2024[[#This Row],[Max Votes Other Than BJP]]</f>
        <v>-222170</v>
      </c>
      <c r="S414" s="10">
        <f>Telengana_Results_2024[[#This Row],[BJP vote share]]-Telengana_Results_2024[[#This Row],[Max Vote share other than bjp ]]</f>
        <v>-0.15906210846000002</v>
      </c>
      <c r="T414">
        <v>1809241</v>
      </c>
      <c r="U414" s="8">
        <v>0.77475637574</v>
      </c>
      <c r="V414" s="1" t="s">
        <v>68</v>
      </c>
    </row>
    <row r="415" spans="1:22" x14ac:dyDescent="0.35">
      <c r="A415">
        <v>2024</v>
      </c>
      <c r="B415" s="1" t="s">
        <v>19</v>
      </c>
      <c r="C415" s="1" t="s">
        <v>1244</v>
      </c>
      <c r="D415" s="1" t="s">
        <v>1260</v>
      </c>
      <c r="E415" s="1" t="s">
        <v>21</v>
      </c>
      <c r="F415" s="1" t="s">
        <v>160</v>
      </c>
      <c r="G415" s="1" t="s">
        <v>112</v>
      </c>
      <c r="H415" s="1" t="s">
        <v>53</v>
      </c>
      <c r="I415" s="1" t="s">
        <v>198</v>
      </c>
      <c r="J415">
        <v>1401721</v>
      </c>
      <c r="K415">
        <v>1396750</v>
      </c>
      <c r="L415">
        <v>2612</v>
      </c>
      <c r="M415" s="9">
        <v>1.8700554858999999E-3</v>
      </c>
      <c r="N415">
        <v>629143</v>
      </c>
      <c r="O415" s="9">
        <v>0.45043350635000001</v>
      </c>
      <c r="P415">
        <v>406973</v>
      </c>
      <c r="Q415" s="9">
        <v>0.29137139788999999</v>
      </c>
      <c r="R415">
        <f>Telengana_Results_2024[[#This Row],[BJP votes]]-Telengana_Results_2024[[#This Row],[Max Votes Other Than BJP]]</f>
        <v>-222170</v>
      </c>
      <c r="S415" s="10">
        <f>Telengana_Results_2024[[#This Row],[BJP vote share]]-Telengana_Results_2024[[#This Row],[Max Vote share other than bjp ]]</f>
        <v>-0.15906210846000002</v>
      </c>
      <c r="T415">
        <v>1809241</v>
      </c>
      <c r="U415" s="8">
        <v>0.77475637574</v>
      </c>
      <c r="V415" s="1" t="s">
        <v>68</v>
      </c>
    </row>
    <row r="416" spans="1:22" x14ac:dyDescent="0.35">
      <c r="A416">
        <v>2024</v>
      </c>
      <c r="B416" s="1" t="s">
        <v>19</v>
      </c>
      <c r="C416" s="1" t="s">
        <v>1244</v>
      </c>
      <c r="D416" s="1" t="s">
        <v>1261</v>
      </c>
      <c r="E416" s="1" t="s">
        <v>21</v>
      </c>
      <c r="F416" s="1" t="s">
        <v>117</v>
      </c>
      <c r="G416" s="1" t="s">
        <v>112</v>
      </c>
      <c r="H416" s="1" t="s">
        <v>53</v>
      </c>
      <c r="I416" s="1" t="s">
        <v>46</v>
      </c>
      <c r="J416">
        <v>1401721</v>
      </c>
      <c r="K416">
        <v>1396750</v>
      </c>
      <c r="L416">
        <v>2168</v>
      </c>
      <c r="M416" s="9">
        <v>1.5521746911999999E-3</v>
      </c>
      <c r="N416">
        <v>629143</v>
      </c>
      <c r="O416" s="9">
        <v>0.45043350635000001</v>
      </c>
      <c r="P416">
        <v>406973</v>
      </c>
      <c r="Q416" s="9">
        <v>0.29137139788999999</v>
      </c>
      <c r="R416">
        <f>Telengana_Results_2024[[#This Row],[BJP votes]]-Telengana_Results_2024[[#This Row],[Max Votes Other Than BJP]]</f>
        <v>-222170</v>
      </c>
      <c r="S416" s="10">
        <f>Telengana_Results_2024[[#This Row],[BJP vote share]]-Telengana_Results_2024[[#This Row],[Max Vote share other than bjp ]]</f>
        <v>-0.15906210846000002</v>
      </c>
      <c r="T416">
        <v>1809241</v>
      </c>
      <c r="U416" s="8">
        <v>0.77475637574</v>
      </c>
      <c r="V416" s="1" t="s">
        <v>68</v>
      </c>
    </row>
    <row r="417" spans="1:22" x14ac:dyDescent="0.35">
      <c r="A417">
        <v>2024</v>
      </c>
      <c r="B417" s="1" t="s">
        <v>19</v>
      </c>
      <c r="C417" s="1" t="s">
        <v>1244</v>
      </c>
      <c r="D417" s="1" t="s">
        <v>1262</v>
      </c>
      <c r="E417" s="1" t="s">
        <v>21</v>
      </c>
      <c r="F417" s="1" t="s">
        <v>115</v>
      </c>
      <c r="G417" s="1" t="s">
        <v>112</v>
      </c>
      <c r="H417" s="1" t="s">
        <v>77</v>
      </c>
      <c r="I417" s="1" t="s">
        <v>139</v>
      </c>
      <c r="J417">
        <v>1401721</v>
      </c>
      <c r="K417">
        <v>1396750</v>
      </c>
      <c r="L417">
        <v>2010</v>
      </c>
      <c r="M417" s="9">
        <v>1.4390549490000001E-3</v>
      </c>
      <c r="N417">
        <v>629143</v>
      </c>
      <c r="O417" s="9">
        <v>0.45043350635000001</v>
      </c>
      <c r="P417">
        <v>406973</v>
      </c>
      <c r="Q417" s="9">
        <v>0.29137139788999999</v>
      </c>
      <c r="R417">
        <f>Telengana_Results_2024[[#This Row],[BJP votes]]-Telengana_Results_2024[[#This Row],[Max Votes Other Than BJP]]</f>
        <v>-222170</v>
      </c>
      <c r="S417" s="10">
        <f>Telengana_Results_2024[[#This Row],[BJP vote share]]-Telengana_Results_2024[[#This Row],[Max Vote share other than bjp ]]</f>
        <v>-0.15906210846000002</v>
      </c>
      <c r="T417">
        <v>1809241</v>
      </c>
      <c r="U417" s="8">
        <v>0.77475637574</v>
      </c>
      <c r="V417" s="1" t="s">
        <v>68</v>
      </c>
    </row>
    <row r="418" spans="1:22" x14ac:dyDescent="0.35">
      <c r="A418">
        <v>2024</v>
      </c>
      <c r="B418" s="1" t="s">
        <v>19</v>
      </c>
      <c r="C418" s="1" t="s">
        <v>1244</v>
      </c>
      <c r="D418" s="1" t="s">
        <v>1263</v>
      </c>
      <c r="E418" s="1" t="s">
        <v>21</v>
      </c>
      <c r="F418" s="1" t="s">
        <v>99</v>
      </c>
      <c r="G418" s="1" t="s">
        <v>112</v>
      </c>
      <c r="H418" s="1" t="s">
        <v>53</v>
      </c>
      <c r="I418" s="1" t="s">
        <v>208</v>
      </c>
      <c r="J418">
        <v>1401721</v>
      </c>
      <c r="K418">
        <v>1396750</v>
      </c>
      <c r="L418">
        <v>1897</v>
      </c>
      <c r="M418" s="9">
        <v>1.3581528547999999E-3</v>
      </c>
      <c r="N418">
        <v>629143</v>
      </c>
      <c r="O418" s="9">
        <v>0.45043350635000001</v>
      </c>
      <c r="P418">
        <v>406973</v>
      </c>
      <c r="Q418" s="9">
        <v>0.29137139788999999</v>
      </c>
      <c r="R418">
        <f>Telengana_Results_2024[[#This Row],[BJP votes]]-Telengana_Results_2024[[#This Row],[Max Votes Other Than BJP]]</f>
        <v>-222170</v>
      </c>
      <c r="S418" s="10">
        <f>Telengana_Results_2024[[#This Row],[BJP vote share]]-Telengana_Results_2024[[#This Row],[Max Vote share other than bjp ]]</f>
        <v>-0.15906210846000002</v>
      </c>
      <c r="T418">
        <v>1809241</v>
      </c>
      <c r="U418" s="8">
        <v>0.77475637574</v>
      </c>
      <c r="V418" s="1" t="s">
        <v>68</v>
      </c>
    </row>
    <row r="419" spans="1:22" x14ac:dyDescent="0.35">
      <c r="A419">
        <v>2024</v>
      </c>
      <c r="B419" s="1" t="s">
        <v>19</v>
      </c>
      <c r="C419" s="1" t="s">
        <v>1244</v>
      </c>
      <c r="D419" s="1" t="s">
        <v>1264</v>
      </c>
      <c r="E419" s="1" t="s">
        <v>21</v>
      </c>
      <c r="F419" s="1" t="s">
        <v>642</v>
      </c>
      <c r="G419" s="1" t="s">
        <v>112</v>
      </c>
      <c r="H419" s="1" t="s">
        <v>1265</v>
      </c>
      <c r="I419" s="1" t="s">
        <v>133</v>
      </c>
      <c r="J419">
        <v>1401721</v>
      </c>
      <c r="K419">
        <v>1396750</v>
      </c>
      <c r="L419">
        <v>1792</v>
      </c>
      <c r="M419" s="9">
        <v>1.2829783426E-3</v>
      </c>
      <c r="N419">
        <v>629143</v>
      </c>
      <c r="O419" s="9">
        <v>0.45043350635000001</v>
      </c>
      <c r="P419">
        <v>406973</v>
      </c>
      <c r="Q419" s="9">
        <v>0.29137139788999999</v>
      </c>
      <c r="R419">
        <f>Telengana_Results_2024[[#This Row],[BJP votes]]-Telengana_Results_2024[[#This Row],[Max Votes Other Than BJP]]</f>
        <v>-222170</v>
      </c>
      <c r="S419" s="10">
        <f>Telengana_Results_2024[[#This Row],[BJP vote share]]-Telengana_Results_2024[[#This Row],[Max Vote share other than bjp ]]</f>
        <v>-0.15906210846000002</v>
      </c>
      <c r="T419">
        <v>1809241</v>
      </c>
      <c r="U419" s="8">
        <v>0.77475637574</v>
      </c>
      <c r="V419" s="1" t="s">
        <v>68</v>
      </c>
    </row>
    <row r="420" spans="1:22" x14ac:dyDescent="0.35">
      <c r="A420">
        <v>2024</v>
      </c>
      <c r="B420" s="1" t="s">
        <v>19</v>
      </c>
      <c r="C420" s="1" t="s">
        <v>1244</v>
      </c>
      <c r="D420" s="1" t="s">
        <v>1266</v>
      </c>
      <c r="E420" s="1" t="s">
        <v>21</v>
      </c>
      <c r="F420" s="1" t="s">
        <v>379</v>
      </c>
      <c r="G420" s="1" t="s">
        <v>112</v>
      </c>
      <c r="H420" s="1" t="s">
        <v>1267</v>
      </c>
      <c r="I420" s="1" t="s">
        <v>1268</v>
      </c>
      <c r="J420">
        <v>1401721</v>
      </c>
      <c r="K420">
        <v>1396750</v>
      </c>
      <c r="L420">
        <v>1737</v>
      </c>
      <c r="M420" s="9">
        <v>1.2436012171000001E-3</v>
      </c>
      <c r="N420">
        <v>629143</v>
      </c>
      <c r="O420" s="9">
        <v>0.45043350635000001</v>
      </c>
      <c r="P420">
        <v>406973</v>
      </c>
      <c r="Q420" s="9">
        <v>0.29137139788999999</v>
      </c>
      <c r="R420">
        <f>Telengana_Results_2024[[#This Row],[BJP votes]]-Telengana_Results_2024[[#This Row],[Max Votes Other Than BJP]]</f>
        <v>-222170</v>
      </c>
      <c r="S420" s="10">
        <f>Telengana_Results_2024[[#This Row],[BJP vote share]]-Telengana_Results_2024[[#This Row],[Max Vote share other than bjp ]]</f>
        <v>-0.15906210846000002</v>
      </c>
      <c r="T420">
        <v>1809241</v>
      </c>
      <c r="U420" s="8">
        <v>0.77475637574</v>
      </c>
      <c r="V420" s="1" t="s">
        <v>68</v>
      </c>
    </row>
    <row r="421" spans="1:22" x14ac:dyDescent="0.35">
      <c r="A421">
        <v>2024</v>
      </c>
      <c r="B421" s="1" t="s">
        <v>19</v>
      </c>
      <c r="C421" s="1" t="s">
        <v>1244</v>
      </c>
      <c r="D421" s="1" t="s">
        <v>1269</v>
      </c>
      <c r="E421" s="1" t="s">
        <v>21</v>
      </c>
      <c r="F421" s="1" t="s">
        <v>160</v>
      </c>
      <c r="G421" s="1" t="s">
        <v>23</v>
      </c>
      <c r="H421" s="1" t="s">
        <v>1270</v>
      </c>
      <c r="I421" s="1" t="s">
        <v>828</v>
      </c>
      <c r="J421">
        <v>1401721</v>
      </c>
      <c r="K421">
        <v>1396750</v>
      </c>
      <c r="L421">
        <v>1682</v>
      </c>
      <c r="M421" s="9">
        <v>1.2042240916E-3</v>
      </c>
      <c r="N421">
        <v>629143</v>
      </c>
      <c r="O421" s="9">
        <v>0.45043350635000001</v>
      </c>
      <c r="P421">
        <v>406973</v>
      </c>
      <c r="Q421" s="9">
        <v>0.29137139788999999</v>
      </c>
      <c r="R421">
        <f>Telengana_Results_2024[[#This Row],[BJP votes]]-Telengana_Results_2024[[#This Row],[Max Votes Other Than BJP]]</f>
        <v>-222170</v>
      </c>
      <c r="S421" s="10">
        <f>Telengana_Results_2024[[#This Row],[BJP vote share]]-Telengana_Results_2024[[#This Row],[Max Vote share other than bjp ]]</f>
        <v>-0.15906210846000002</v>
      </c>
      <c r="T421">
        <v>1809241</v>
      </c>
      <c r="U421" s="8">
        <v>0.77475637574</v>
      </c>
      <c r="V421" s="1" t="s">
        <v>68</v>
      </c>
    </row>
    <row r="422" spans="1:22" x14ac:dyDescent="0.35">
      <c r="A422">
        <v>2024</v>
      </c>
      <c r="B422" s="1" t="s">
        <v>19</v>
      </c>
      <c r="C422" s="1" t="s">
        <v>1244</v>
      </c>
      <c r="D422" s="1" t="s">
        <v>1271</v>
      </c>
      <c r="E422" s="1" t="s">
        <v>21</v>
      </c>
      <c r="F422" s="1" t="s">
        <v>52</v>
      </c>
      <c r="G422" s="1" t="s">
        <v>112</v>
      </c>
      <c r="H422" s="1" t="s">
        <v>53</v>
      </c>
      <c r="I422" s="1" t="s">
        <v>151</v>
      </c>
      <c r="J422">
        <v>1401721</v>
      </c>
      <c r="K422">
        <v>1396750</v>
      </c>
      <c r="L422">
        <v>1647</v>
      </c>
      <c r="M422" s="9">
        <v>1.1791659209E-3</v>
      </c>
      <c r="N422">
        <v>629143</v>
      </c>
      <c r="O422" s="9">
        <v>0.45043350635000001</v>
      </c>
      <c r="P422">
        <v>406973</v>
      </c>
      <c r="Q422" s="9">
        <v>0.29137139788999999</v>
      </c>
      <c r="R422">
        <f>Telengana_Results_2024[[#This Row],[BJP votes]]-Telengana_Results_2024[[#This Row],[Max Votes Other Than BJP]]</f>
        <v>-222170</v>
      </c>
      <c r="S422" s="10">
        <f>Telengana_Results_2024[[#This Row],[BJP vote share]]-Telengana_Results_2024[[#This Row],[Max Vote share other than bjp ]]</f>
        <v>-0.15906210846000002</v>
      </c>
      <c r="T422">
        <v>1809241</v>
      </c>
      <c r="U422" s="8">
        <v>0.77475637574</v>
      </c>
      <c r="V422" s="1" t="s">
        <v>68</v>
      </c>
    </row>
    <row r="423" spans="1:22" x14ac:dyDescent="0.35">
      <c r="A423">
        <v>2024</v>
      </c>
      <c r="B423" s="1" t="s">
        <v>19</v>
      </c>
      <c r="C423" s="1" t="s">
        <v>1244</v>
      </c>
      <c r="D423" s="1" t="s">
        <v>1239</v>
      </c>
      <c r="E423" s="1" t="s">
        <v>35</v>
      </c>
      <c r="F423" s="1" t="s">
        <v>1240</v>
      </c>
      <c r="G423" s="1" t="s">
        <v>112</v>
      </c>
      <c r="H423" s="1" t="s">
        <v>860</v>
      </c>
      <c r="I423" s="1" t="s">
        <v>1192</v>
      </c>
      <c r="J423">
        <v>1401721</v>
      </c>
      <c r="K423">
        <v>1396750</v>
      </c>
      <c r="L423">
        <v>1465</v>
      </c>
      <c r="M423" s="9">
        <v>1.0488634329999999E-3</v>
      </c>
      <c r="N423">
        <v>629143</v>
      </c>
      <c r="O423" s="9">
        <v>0.45043350635000001</v>
      </c>
      <c r="P423">
        <v>406973</v>
      </c>
      <c r="Q423" s="9">
        <v>0.29137139788999999</v>
      </c>
      <c r="R423">
        <f>Telengana_Results_2024[[#This Row],[BJP votes]]-Telengana_Results_2024[[#This Row],[Max Votes Other Than BJP]]</f>
        <v>-222170</v>
      </c>
      <c r="S423" s="10">
        <f>Telengana_Results_2024[[#This Row],[BJP vote share]]-Telengana_Results_2024[[#This Row],[Max Vote share other than bjp ]]</f>
        <v>-0.15906210846000002</v>
      </c>
      <c r="T423">
        <v>1809241</v>
      </c>
      <c r="U423" s="8">
        <v>0.77475637574</v>
      </c>
      <c r="V423" s="1" t="s">
        <v>68</v>
      </c>
    </row>
    <row r="424" spans="1:22" x14ac:dyDescent="0.35">
      <c r="A424">
        <v>2024</v>
      </c>
      <c r="B424" s="1" t="s">
        <v>19</v>
      </c>
      <c r="C424" s="1" t="s">
        <v>1244</v>
      </c>
      <c r="D424" s="1" t="s">
        <v>1272</v>
      </c>
      <c r="E424" s="1" t="s">
        <v>21</v>
      </c>
      <c r="F424" s="1" t="s">
        <v>362</v>
      </c>
      <c r="G424" s="1" t="s">
        <v>112</v>
      </c>
      <c r="H424" s="1" t="s">
        <v>53</v>
      </c>
      <c r="I424" s="1" t="s">
        <v>846</v>
      </c>
      <c r="J424">
        <v>1401721</v>
      </c>
      <c r="K424">
        <v>1396750</v>
      </c>
      <c r="L424">
        <v>1366</v>
      </c>
      <c r="M424" s="9">
        <v>9.7798460711999999E-4</v>
      </c>
      <c r="N424">
        <v>629143</v>
      </c>
      <c r="O424" s="9">
        <v>0.45043350635000001</v>
      </c>
      <c r="P424">
        <v>406973</v>
      </c>
      <c r="Q424" s="9">
        <v>0.29137139788999999</v>
      </c>
      <c r="R424">
        <f>Telengana_Results_2024[[#This Row],[BJP votes]]-Telengana_Results_2024[[#This Row],[Max Votes Other Than BJP]]</f>
        <v>-222170</v>
      </c>
      <c r="S424" s="10">
        <f>Telengana_Results_2024[[#This Row],[BJP vote share]]-Telengana_Results_2024[[#This Row],[Max Vote share other than bjp ]]</f>
        <v>-0.15906210846000002</v>
      </c>
      <c r="T424">
        <v>1809241</v>
      </c>
      <c r="U424" s="8">
        <v>0.77475637574</v>
      </c>
      <c r="V424" s="1" t="s">
        <v>68</v>
      </c>
    </row>
    <row r="425" spans="1:22" x14ac:dyDescent="0.35">
      <c r="A425">
        <v>2024</v>
      </c>
      <c r="B425" s="1" t="s">
        <v>19</v>
      </c>
      <c r="C425" s="1" t="s">
        <v>1244</v>
      </c>
      <c r="D425" s="1" t="s">
        <v>1273</v>
      </c>
      <c r="E425" s="1" t="s">
        <v>21</v>
      </c>
      <c r="F425" s="1" t="s">
        <v>117</v>
      </c>
      <c r="G425" s="1" t="s">
        <v>112</v>
      </c>
      <c r="H425" s="1" t="s">
        <v>53</v>
      </c>
      <c r="I425" s="1" t="s">
        <v>483</v>
      </c>
      <c r="J425">
        <v>1401721</v>
      </c>
      <c r="K425">
        <v>1396750</v>
      </c>
      <c r="L425">
        <v>1320</v>
      </c>
      <c r="M425" s="9">
        <v>9.4505101127999997E-4</v>
      </c>
      <c r="N425">
        <v>629143</v>
      </c>
      <c r="O425" s="9">
        <v>0.45043350635000001</v>
      </c>
      <c r="P425">
        <v>406973</v>
      </c>
      <c r="Q425" s="9">
        <v>0.29137139788999999</v>
      </c>
      <c r="R425">
        <f>Telengana_Results_2024[[#This Row],[BJP votes]]-Telengana_Results_2024[[#This Row],[Max Votes Other Than BJP]]</f>
        <v>-222170</v>
      </c>
      <c r="S425" s="10">
        <f>Telengana_Results_2024[[#This Row],[BJP vote share]]-Telengana_Results_2024[[#This Row],[Max Vote share other than bjp ]]</f>
        <v>-0.15906210846000002</v>
      </c>
      <c r="T425">
        <v>1809241</v>
      </c>
      <c r="U425" s="8">
        <v>0.77475637574</v>
      </c>
      <c r="V425" s="1" t="s">
        <v>68</v>
      </c>
    </row>
    <row r="426" spans="1:22" x14ac:dyDescent="0.35">
      <c r="A426">
        <v>2024</v>
      </c>
      <c r="B426" s="1" t="s">
        <v>19</v>
      </c>
      <c r="C426" s="1" t="s">
        <v>1244</v>
      </c>
      <c r="D426" s="1" t="s">
        <v>1274</v>
      </c>
      <c r="E426" s="1" t="s">
        <v>21</v>
      </c>
      <c r="F426" s="1" t="s">
        <v>362</v>
      </c>
      <c r="G426" s="1" t="s">
        <v>67</v>
      </c>
      <c r="H426" s="1" t="s">
        <v>53</v>
      </c>
      <c r="I426" s="1" t="s">
        <v>1275</v>
      </c>
      <c r="J426">
        <v>1401721</v>
      </c>
      <c r="K426">
        <v>1396750</v>
      </c>
      <c r="L426">
        <v>923</v>
      </c>
      <c r="M426" s="9">
        <v>6.6081976016000004E-4</v>
      </c>
      <c r="N426">
        <v>629143</v>
      </c>
      <c r="O426" s="9">
        <v>0.45043350635000001</v>
      </c>
      <c r="P426">
        <v>406973</v>
      </c>
      <c r="Q426" s="9">
        <v>0.29137139788999999</v>
      </c>
      <c r="R426">
        <f>Telengana_Results_2024[[#This Row],[BJP votes]]-Telengana_Results_2024[[#This Row],[Max Votes Other Than BJP]]</f>
        <v>-222170</v>
      </c>
      <c r="S426" s="10">
        <f>Telengana_Results_2024[[#This Row],[BJP vote share]]-Telengana_Results_2024[[#This Row],[Max Vote share other than bjp ]]</f>
        <v>-0.15906210846000002</v>
      </c>
      <c r="T426">
        <v>1809241</v>
      </c>
      <c r="U426" s="8">
        <v>0.77475637574</v>
      </c>
      <c r="V426" s="1" t="s">
        <v>68</v>
      </c>
    </row>
    <row r="427" spans="1:22" x14ac:dyDescent="0.35">
      <c r="A427">
        <v>2024</v>
      </c>
      <c r="B427" s="1" t="s">
        <v>19</v>
      </c>
      <c r="C427" s="1" t="s">
        <v>1244</v>
      </c>
      <c r="D427" s="1" t="s">
        <v>1276</v>
      </c>
      <c r="E427" s="1" t="s">
        <v>21</v>
      </c>
      <c r="F427" s="1" t="s">
        <v>71</v>
      </c>
      <c r="G427" s="1" t="s">
        <v>112</v>
      </c>
      <c r="H427" s="1" t="s">
        <v>53</v>
      </c>
      <c r="I427" s="1" t="s">
        <v>793</v>
      </c>
      <c r="J427">
        <v>1401721</v>
      </c>
      <c r="K427">
        <v>1396750</v>
      </c>
      <c r="L427">
        <v>898</v>
      </c>
      <c r="M427" s="9">
        <v>6.4292106675999995E-4</v>
      </c>
      <c r="N427">
        <v>629143</v>
      </c>
      <c r="O427" s="9">
        <v>0.45043350635000001</v>
      </c>
      <c r="P427">
        <v>406973</v>
      </c>
      <c r="Q427" s="9">
        <v>0.29137139788999999</v>
      </c>
      <c r="R427">
        <f>Telengana_Results_2024[[#This Row],[BJP votes]]-Telengana_Results_2024[[#This Row],[Max Votes Other Than BJP]]</f>
        <v>-222170</v>
      </c>
      <c r="S427" s="10">
        <f>Telengana_Results_2024[[#This Row],[BJP vote share]]-Telengana_Results_2024[[#This Row],[Max Vote share other than bjp ]]</f>
        <v>-0.15906210846000002</v>
      </c>
      <c r="T427">
        <v>1809241</v>
      </c>
      <c r="U427" s="8">
        <v>0.77475637574</v>
      </c>
      <c r="V427" s="1" t="s">
        <v>68</v>
      </c>
    </row>
    <row r="428" spans="1:22" x14ac:dyDescent="0.35">
      <c r="A428">
        <v>2024</v>
      </c>
      <c r="B428" s="1" t="s">
        <v>19</v>
      </c>
      <c r="C428" s="1" t="s">
        <v>1244</v>
      </c>
      <c r="D428" s="1" t="s">
        <v>1277</v>
      </c>
      <c r="E428" s="1" t="s">
        <v>35</v>
      </c>
      <c r="F428" s="1" t="s">
        <v>48</v>
      </c>
      <c r="G428" s="1" t="s">
        <v>67</v>
      </c>
      <c r="H428" s="1" t="s">
        <v>53</v>
      </c>
      <c r="I428" s="1" t="s">
        <v>284</v>
      </c>
      <c r="J428">
        <v>1401721</v>
      </c>
      <c r="K428">
        <v>1396750</v>
      </c>
      <c r="L428">
        <v>847</v>
      </c>
      <c r="M428" s="9">
        <v>6.0640773223999997E-4</v>
      </c>
      <c r="N428">
        <v>629143</v>
      </c>
      <c r="O428" s="9">
        <v>0.45043350635000001</v>
      </c>
      <c r="P428">
        <v>406973</v>
      </c>
      <c r="Q428" s="9">
        <v>0.29137139788999999</v>
      </c>
      <c r="R428">
        <f>Telengana_Results_2024[[#This Row],[BJP votes]]-Telengana_Results_2024[[#This Row],[Max Votes Other Than BJP]]</f>
        <v>-222170</v>
      </c>
      <c r="S428" s="10">
        <f>Telengana_Results_2024[[#This Row],[BJP vote share]]-Telengana_Results_2024[[#This Row],[Max Vote share other than bjp ]]</f>
        <v>-0.15906210846000002</v>
      </c>
      <c r="T428">
        <v>1809241</v>
      </c>
      <c r="U428" s="8">
        <v>0.77475637574</v>
      </c>
      <c r="V428" s="1" t="s">
        <v>68</v>
      </c>
    </row>
    <row r="429" spans="1:22" x14ac:dyDescent="0.35">
      <c r="A429">
        <v>2024</v>
      </c>
      <c r="B429" s="1" t="s">
        <v>19</v>
      </c>
      <c r="C429" s="1" t="s">
        <v>1244</v>
      </c>
      <c r="D429" s="1" t="s">
        <v>1278</v>
      </c>
      <c r="E429" s="1" t="s">
        <v>21</v>
      </c>
      <c r="F429" s="1" t="s">
        <v>56</v>
      </c>
      <c r="G429" s="1" t="s">
        <v>67</v>
      </c>
      <c r="H429" s="1" t="s">
        <v>1001</v>
      </c>
      <c r="I429" s="1" t="s">
        <v>60</v>
      </c>
      <c r="J429">
        <v>1401721</v>
      </c>
      <c r="K429">
        <v>1396750</v>
      </c>
      <c r="L429">
        <v>778</v>
      </c>
      <c r="M429" s="9">
        <v>5.5700733846000003E-4</v>
      </c>
      <c r="N429">
        <v>629143</v>
      </c>
      <c r="O429" s="9">
        <v>0.45043350635000001</v>
      </c>
      <c r="P429">
        <v>406973</v>
      </c>
      <c r="Q429" s="9">
        <v>0.29137139788999999</v>
      </c>
      <c r="R429">
        <f>Telengana_Results_2024[[#This Row],[BJP votes]]-Telengana_Results_2024[[#This Row],[Max Votes Other Than BJP]]</f>
        <v>-222170</v>
      </c>
      <c r="S429" s="10">
        <f>Telengana_Results_2024[[#This Row],[BJP vote share]]-Telengana_Results_2024[[#This Row],[Max Vote share other than bjp ]]</f>
        <v>-0.15906210846000002</v>
      </c>
      <c r="T429">
        <v>1809241</v>
      </c>
      <c r="U429" s="8">
        <v>0.77475637574</v>
      </c>
      <c r="V429" s="1" t="s">
        <v>68</v>
      </c>
    </row>
    <row r="430" spans="1:22" x14ac:dyDescent="0.35">
      <c r="A430">
        <v>2024</v>
      </c>
      <c r="B430" s="1" t="s">
        <v>19</v>
      </c>
      <c r="C430" s="1" t="s">
        <v>1244</v>
      </c>
      <c r="D430" s="1" t="s">
        <v>1279</v>
      </c>
      <c r="E430" s="1" t="s">
        <v>21</v>
      </c>
      <c r="F430" s="1" t="s">
        <v>28</v>
      </c>
      <c r="G430" s="1" t="s">
        <v>67</v>
      </c>
      <c r="H430" s="1" t="s">
        <v>53</v>
      </c>
      <c r="I430" s="1" t="s">
        <v>791</v>
      </c>
      <c r="J430">
        <v>1401721</v>
      </c>
      <c r="K430">
        <v>1396750</v>
      </c>
      <c r="L430">
        <v>633</v>
      </c>
      <c r="M430" s="9">
        <v>4.5319491677E-4</v>
      </c>
      <c r="N430">
        <v>629143</v>
      </c>
      <c r="O430" s="9">
        <v>0.45043350635000001</v>
      </c>
      <c r="P430">
        <v>406973</v>
      </c>
      <c r="Q430" s="9">
        <v>0.29137139788999999</v>
      </c>
      <c r="R430">
        <f>Telengana_Results_2024[[#This Row],[BJP votes]]-Telengana_Results_2024[[#This Row],[Max Votes Other Than BJP]]</f>
        <v>-222170</v>
      </c>
      <c r="S430" s="10">
        <f>Telengana_Results_2024[[#This Row],[BJP vote share]]-Telengana_Results_2024[[#This Row],[Max Vote share other than bjp ]]</f>
        <v>-0.15906210846000002</v>
      </c>
      <c r="T430">
        <v>1809241</v>
      </c>
      <c r="U430" s="8">
        <v>0.77475637574</v>
      </c>
      <c r="V430" s="1" t="s">
        <v>68</v>
      </c>
    </row>
    <row r="431" spans="1:22" x14ac:dyDescent="0.35">
      <c r="A431">
        <v>2024</v>
      </c>
      <c r="B431" s="1" t="s">
        <v>19</v>
      </c>
      <c r="C431" s="1" t="s">
        <v>1244</v>
      </c>
      <c r="D431" s="1" t="s">
        <v>1280</v>
      </c>
      <c r="E431" s="1" t="s">
        <v>21</v>
      </c>
      <c r="F431" s="1" t="s">
        <v>22</v>
      </c>
      <c r="G431" s="1" t="s">
        <v>112</v>
      </c>
      <c r="H431" s="1" t="s">
        <v>53</v>
      </c>
      <c r="I431" s="1" t="s">
        <v>457</v>
      </c>
      <c r="J431">
        <v>1401721</v>
      </c>
      <c r="K431">
        <v>1396750</v>
      </c>
      <c r="L431">
        <v>617</v>
      </c>
      <c r="M431" s="9">
        <v>4.4173975299999999E-4</v>
      </c>
      <c r="N431">
        <v>629143</v>
      </c>
      <c r="O431" s="9">
        <v>0.45043350635000001</v>
      </c>
      <c r="P431">
        <v>406973</v>
      </c>
      <c r="Q431" s="9">
        <v>0.29137139788999999</v>
      </c>
      <c r="R431">
        <f>Telengana_Results_2024[[#This Row],[BJP votes]]-Telengana_Results_2024[[#This Row],[Max Votes Other Than BJP]]</f>
        <v>-222170</v>
      </c>
      <c r="S431" s="10">
        <f>Telengana_Results_2024[[#This Row],[BJP vote share]]-Telengana_Results_2024[[#This Row],[Max Vote share other than bjp ]]</f>
        <v>-0.15906210846000002</v>
      </c>
      <c r="T431">
        <v>1809241</v>
      </c>
      <c r="U431" s="8">
        <v>0.77475637574</v>
      </c>
      <c r="V431" s="1" t="s">
        <v>68</v>
      </c>
    </row>
    <row r="432" spans="1:22" x14ac:dyDescent="0.35">
      <c r="A432">
        <v>2024</v>
      </c>
      <c r="B432" s="1" t="s">
        <v>19</v>
      </c>
      <c r="C432" s="1" t="s">
        <v>1244</v>
      </c>
      <c r="D432" s="1" t="s">
        <v>1281</v>
      </c>
      <c r="E432" s="1" t="s">
        <v>21</v>
      </c>
      <c r="F432" s="1" t="s">
        <v>125</v>
      </c>
      <c r="G432" s="1" t="s">
        <v>67</v>
      </c>
      <c r="H432" s="1" t="s">
        <v>53</v>
      </c>
      <c r="I432" s="1" t="s">
        <v>890</v>
      </c>
      <c r="J432">
        <v>1401721</v>
      </c>
      <c r="K432">
        <v>1396750</v>
      </c>
      <c r="L432">
        <v>579</v>
      </c>
      <c r="M432" s="9">
        <v>4.1453373904000001E-4</v>
      </c>
      <c r="N432">
        <v>629143</v>
      </c>
      <c r="O432" s="9">
        <v>0.45043350635000001</v>
      </c>
      <c r="P432">
        <v>406973</v>
      </c>
      <c r="Q432" s="9">
        <v>0.29137139788999999</v>
      </c>
      <c r="R432">
        <f>Telengana_Results_2024[[#This Row],[BJP votes]]-Telengana_Results_2024[[#This Row],[Max Votes Other Than BJP]]</f>
        <v>-222170</v>
      </c>
      <c r="S432" s="10">
        <f>Telengana_Results_2024[[#This Row],[BJP vote share]]-Telengana_Results_2024[[#This Row],[Max Vote share other than bjp ]]</f>
        <v>-0.15906210846000002</v>
      </c>
      <c r="T432">
        <v>1809241</v>
      </c>
      <c r="U432" s="8">
        <v>0.77475637574</v>
      </c>
      <c r="V432" s="1" t="s">
        <v>68</v>
      </c>
    </row>
    <row r="433" spans="1:22" x14ac:dyDescent="0.35">
      <c r="A433">
        <v>2024</v>
      </c>
      <c r="B433" s="1" t="s">
        <v>19</v>
      </c>
      <c r="C433" s="1" t="s">
        <v>1244</v>
      </c>
      <c r="D433" s="1" t="s">
        <v>1282</v>
      </c>
      <c r="E433" s="1" t="s">
        <v>21</v>
      </c>
      <c r="F433" s="1" t="s">
        <v>143</v>
      </c>
      <c r="G433" s="1" t="s">
        <v>112</v>
      </c>
      <c r="H433" s="1" t="s">
        <v>1283</v>
      </c>
      <c r="I433" s="1" t="s">
        <v>1115</v>
      </c>
      <c r="J433">
        <v>1401721</v>
      </c>
      <c r="K433">
        <v>1396750</v>
      </c>
      <c r="L433">
        <v>569</v>
      </c>
      <c r="M433" s="9">
        <v>4.0737426168E-4</v>
      </c>
      <c r="N433">
        <v>629143</v>
      </c>
      <c r="O433" s="9">
        <v>0.45043350635000001</v>
      </c>
      <c r="P433">
        <v>406973</v>
      </c>
      <c r="Q433" s="9">
        <v>0.29137139788999999</v>
      </c>
      <c r="R433">
        <f>Telengana_Results_2024[[#This Row],[BJP votes]]-Telengana_Results_2024[[#This Row],[Max Votes Other Than BJP]]</f>
        <v>-222170</v>
      </c>
      <c r="S433" s="10">
        <f>Telengana_Results_2024[[#This Row],[BJP vote share]]-Telengana_Results_2024[[#This Row],[Max Vote share other than bjp ]]</f>
        <v>-0.15906210846000002</v>
      </c>
      <c r="T433">
        <v>1809241</v>
      </c>
      <c r="U433" s="8">
        <v>0.77475637574</v>
      </c>
      <c r="V433" s="1" t="s">
        <v>68</v>
      </c>
    </row>
    <row r="434" spans="1:22" x14ac:dyDescent="0.35">
      <c r="A434">
        <v>2024</v>
      </c>
      <c r="B434" s="1" t="s">
        <v>19</v>
      </c>
      <c r="C434" s="1" t="s">
        <v>1244</v>
      </c>
      <c r="D434" s="1" t="s">
        <v>1284</v>
      </c>
      <c r="E434" s="1" t="s">
        <v>21</v>
      </c>
      <c r="F434" s="1" t="s">
        <v>48</v>
      </c>
      <c r="G434" s="1" t="s">
        <v>112</v>
      </c>
      <c r="H434" s="1" t="s">
        <v>53</v>
      </c>
      <c r="I434" s="1" t="s">
        <v>107</v>
      </c>
      <c r="J434">
        <v>1401721</v>
      </c>
      <c r="K434">
        <v>1396750</v>
      </c>
      <c r="L434">
        <v>541</v>
      </c>
      <c r="M434" s="9">
        <v>3.8732772507999997E-4</v>
      </c>
      <c r="N434">
        <v>629143</v>
      </c>
      <c r="O434" s="9">
        <v>0.45043350635000001</v>
      </c>
      <c r="P434">
        <v>406973</v>
      </c>
      <c r="Q434" s="9">
        <v>0.29137139788999999</v>
      </c>
      <c r="R434">
        <f>Telengana_Results_2024[[#This Row],[BJP votes]]-Telengana_Results_2024[[#This Row],[Max Votes Other Than BJP]]</f>
        <v>-222170</v>
      </c>
      <c r="S434" s="10">
        <f>Telengana_Results_2024[[#This Row],[BJP vote share]]-Telengana_Results_2024[[#This Row],[Max Vote share other than bjp ]]</f>
        <v>-0.15906210846000002</v>
      </c>
      <c r="T434">
        <v>1809241</v>
      </c>
      <c r="U434" s="8">
        <v>0.77475637574</v>
      </c>
      <c r="V434" s="1" t="s">
        <v>68</v>
      </c>
    </row>
    <row r="435" spans="1:22" x14ac:dyDescent="0.35">
      <c r="A435">
        <v>2024</v>
      </c>
      <c r="B435" s="1" t="s">
        <v>19</v>
      </c>
      <c r="C435" s="1" t="s">
        <v>1244</v>
      </c>
      <c r="D435" s="1" t="s">
        <v>1285</v>
      </c>
      <c r="E435" s="1" t="s">
        <v>21</v>
      </c>
      <c r="F435" s="1" t="s">
        <v>265</v>
      </c>
      <c r="G435" s="1" t="s">
        <v>23</v>
      </c>
      <c r="H435" s="1" t="s">
        <v>53</v>
      </c>
      <c r="I435" s="1" t="s">
        <v>427</v>
      </c>
      <c r="J435">
        <v>1401721</v>
      </c>
      <c r="K435">
        <v>1396750</v>
      </c>
      <c r="L435">
        <v>502</v>
      </c>
      <c r="M435" s="9">
        <v>3.5940576337999998E-4</v>
      </c>
      <c r="N435">
        <v>629143</v>
      </c>
      <c r="O435" s="9">
        <v>0.45043350635000001</v>
      </c>
      <c r="P435">
        <v>406973</v>
      </c>
      <c r="Q435" s="9">
        <v>0.29137139788999999</v>
      </c>
      <c r="R435">
        <f>Telengana_Results_2024[[#This Row],[BJP votes]]-Telengana_Results_2024[[#This Row],[Max Votes Other Than BJP]]</f>
        <v>-222170</v>
      </c>
      <c r="S435" s="10">
        <f>Telengana_Results_2024[[#This Row],[BJP vote share]]-Telengana_Results_2024[[#This Row],[Max Vote share other than bjp ]]</f>
        <v>-0.15906210846000002</v>
      </c>
      <c r="T435">
        <v>1809241</v>
      </c>
      <c r="U435" s="8">
        <v>0.77475637574</v>
      </c>
      <c r="V435" s="1" t="s">
        <v>68</v>
      </c>
    </row>
    <row r="436" spans="1:22" x14ac:dyDescent="0.35">
      <c r="A436">
        <v>2024</v>
      </c>
      <c r="B436" s="1" t="s">
        <v>19</v>
      </c>
      <c r="C436" s="1" t="s">
        <v>1244</v>
      </c>
      <c r="D436" s="1" t="s">
        <v>1286</v>
      </c>
      <c r="E436" s="1" t="s">
        <v>21</v>
      </c>
      <c r="F436" s="1" t="s">
        <v>71</v>
      </c>
      <c r="G436" s="1" t="s">
        <v>67</v>
      </c>
      <c r="H436" s="1" t="s">
        <v>1287</v>
      </c>
      <c r="I436" s="1" t="s">
        <v>57</v>
      </c>
      <c r="J436">
        <v>1401721</v>
      </c>
      <c r="K436">
        <v>1396750</v>
      </c>
      <c r="L436">
        <v>478</v>
      </c>
      <c r="M436" s="9">
        <v>3.4222301772000001E-4</v>
      </c>
      <c r="N436">
        <v>629143</v>
      </c>
      <c r="O436" s="9">
        <v>0.45043350635000001</v>
      </c>
      <c r="P436">
        <v>406973</v>
      </c>
      <c r="Q436" s="9">
        <v>0.29137139788999999</v>
      </c>
      <c r="R436">
        <f>Telengana_Results_2024[[#This Row],[BJP votes]]-Telengana_Results_2024[[#This Row],[Max Votes Other Than BJP]]</f>
        <v>-222170</v>
      </c>
      <c r="S436" s="10">
        <f>Telengana_Results_2024[[#This Row],[BJP vote share]]-Telengana_Results_2024[[#This Row],[Max Vote share other than bjp ]]</f>
        <v>-0.15906210846000002</v>
      </c>
      <c r="T436">
        <v>1809241</v>
      </c>
      <c r="U436" s="8">
        <v>0.77475637574</v>
      </c>
      <c r="V436" s="1" t="s">
        <v>68</v>
      </c>
    </row>
    <row r="437" spans="1:22" x14ac:dyDescent="0.35">
      <c r="A437">
        <v>2024</v>
      </c>
      <c r="B437" s="1" t="s">
        <v>19</v>
      </c>
      <c r="C437" s="1" t="s">
        <v>1244</v>
      </c>
      <c r="D437" s="1" t="s">
        <v>1288</v>
      </c>
      <c r="E437" s="1" t="s">
        <v>21</v>
      </c>
      <c r="F437" s="1" t="s">
        <v>559</v>
      </c>
      <c r="G437" s="1" t="s">
        <v>112</v>
      </c>
      <c r="H437" s="1" t="s">
        <v>1034</v>
      </c>
      <c r="I437" s="1" t="s">
        <v>167</v>
      </c>
      <c r="J437">
        <v>1401721</v>
      </c>
      <c r="K437">
        <v>1396750</v>
      </c>
      <c r="L437">
        <v>447</v>
      </c>
      <c r="M437" s="9">
        <v>3.2002863790999998E-4</v>
      </c>
      <c r="N437">
        <v>629143</v>
      </c>
      <c r="O437" s="9">
        <v>0.45043350635000001</v>
      </c>
      <c r="P437">
        <v>406973</v>
      </c>
      <c r="Q437" s="9">
        <v>0.29137139788999999</v>
      </c>
      <c r="R437">
        <f>Telengana_Results_2024[[#This Row],[BJP votes]]-Telengana_Results_2024[[#This Row],[Max Votes Other Than BJP]]</f>
        <v>-222170</v>
      </c>
      <c r="S437" s="10">
        <f>Telengana_Results_2024[[#This Row],[BJP vote share]]-Telengana_Results_2024[[#This Row],[Max Vote share other than bjp ]]</f>
        <v>-0.15906210846000002</v>
      </c>
      <c r="T437">
        <v>1809241</v>
      </c>
      <c r="U437" s="8">
        <v>0.77475637574</v>
      </c>
      <c r="V437" s="1" t="s">
        <v>68</v>
      </c>
    </row>
    <row r="438" spans="1:22" x14ac:dyDescent="0.35">
      <c r="A438">
        <v>2024</v>
      </c>
      <c r="B438" s="1" t="s">
        <v>19</v>
      </c>
      <c r="C438" s="1" t="s">
        <v>1244</v>
      </c>
      <c r="D438" s="1" t="s">
        <v>1289</v>
      </c>
      <c r="E438" s="1" t="s">
        <v>21</v>
      </c>
      <c r="F438" s="1" t="s">
        <v>48</v>
      </c>
      <c r="G438" s="1" t="s">
        <v>112</v>
      </c>
      <c r="H438" s="1" t="s">
        <v>1036</v>
      </c>
      <c r="I438" s="1" t="s">
        <v>339</v>
      </c>
      <c r="J438">
        <v>1401721</v>
      </c>
      <c r="K438">
        <v>1396750</v>
      </c>
      <c r="L438">
        <v>433</v>
      </c>
      <c r="M438" s="9">
        <v>3.1000536961000002E-4</v>
      </c>
      <c r="N438">
        <v>629143</v>
      </c>
      <c r="O438" s="9">
        <v>0.45043350635000001</v>
      </c>
      <c r="P438">
        <v>406973</v>
      </c>
      <c r="Q438" s="9">
        <v>0.29137139788999999</v>
      </c>
      <c r="R438">
        <f>Telengana_Results_2024[[#This Row],[BJP votes]]-Telengana_Results_2024[[#This Row],[Max Votes Other Than BJP]]</f>
        <v>-222170</v>
      </c>
      <c r="S438" s="10">
        <f>Telengana_Results_2024[[#This Row],[BJP vote share]]-Telengana_Results_2024[[#This Row],[Max Vote share other than bjp ]]</f>
        <v>-0.15906210846000002</v>
      </c>
      <c r="T438">
        <v>1809241</v>
      </c>
      <c r="U438" s="8">
        <v>0.77475637574</v>
      </c>
      <c r="V438" s="1" t="s">
        <v>68</v>
      </c>
    </row>
    <row r="439" spans="1:22" x14ac:dyDescent="0.35">
      <c r="A439">
        <v>2024</v>
      </c>
      <c r="B439" s="1" t="s">
        <v>19</v>
      </c>
      <c r="C439" s="1" t="s">
        <v>1244</v>
      </c>
      <c r="D439" s="1" t="s">
        <v>1290</v>
      </c>
      <c r="E439" s="1" t="s">
        <v>21</v>
      </c>
      <c r="F439" s="1" t="s">
        <v>44</v>
      </c>
      <c r="G439" s="1" t="s">
        <v>67</v>
      </c>
      <c r="H439" s="1" t="s">
        <v>53</v>
      </c>
      <c r="I439" s="1" t="s">
        <v>897</v>
      </c>
      <c r="J439">
        <v>1401721</v>
      </c>
      <c r="K439">
        <v>1396750</v>
      </c>
      <c r="L439">
        <v>406</v>
      </c>
      <c r="M439" s="9">
        <v>2.9067478073999998E-4</v>
      </c>
      <c r="N439">
        <v>629143</v>
      </c>
      <c r="O439" s="9">
        <v>0.45043350635000001</v>
      </c>
      <c r="P439">
        <v>406973</v>
      </c>
      <c r="Q439" s="9">
        <v>0.29137139788999999</v>
      </c>
      <c r="R439">
        <f>Telengana_Results_2024[[#This Row],[BJP votes]]-Telengana_Results_2024[[#This Row],[Max Votes Other Than BJP]]</f>
        <v>-222170</v>
      </c>
      <c r="S439" s="10">
        <f>Telengana_Results_2024[[#This Row],[BJP vote share]]-Telengana_Results_2024[[#This Row],[Max Vote share other than bjp ]]</f>
        <v>-0.15906210846000002</v>
      </c>
      <c r="T439">
        <v>1809241</v>
      </c>
      <c r="U439" s="8">
        <v>0.77475637574</v>
      </c>
      <c r="V439" s="1" t="s">
        <v>68</v>
      </c>
    </row>
    <row r="440" spans="1:22" x14ac:dyDescent="0.35">
      <c r="A440">
        <v>2024</v>
      </c>
      <c r="B440" s="1" t="s">
        <v>19</v>
      </c>
      <c r="C440" s="1" t="s">
        <v>1244</v>
      </c>
      <c r="D440" s="1" t="s">
        <v>1291</v>
      </c>
      <c r="E440" s="1" t="s">
        <v>21</v>
      </c>
      <c r="F440" s="1" t="s">
        <v>71</v>
      </c>
      <c r="G440" s="1" t="s">
        <v>67</v>
      </c>
      <c r="H440" s="1" t="s">
        <v>53</v>
      </c>
      <c r="I440" s="1" t="s">
        <v>54</v>
      </c>
      <c r="J440">
        <v>1401721</v>
      </c>
      <c r="K440">
        <v>1396750</v>
      </c>
      <c r="L440">
        <v>393</v>
      </c>
      <c r="M440" s="9">
        <v>2.8136746017999999E-4</v>
      </c>
      <c r="N440">
        <v>629143</v>
      </c>
      <c r="O440" s="9">
        <v>0.45043350635000001</v>
      </c>
      <c r="P440">
        <v>406973</v>
      </c>
      <c r="Q440" s="9">
        <v>0.29137139788999999</v>
      </c>
      <c r="R440">
        <f>Telengana_Results_2024[[#This Row],[BJP votes]]-Telengana_Results_2024[[#This Row],[Max Votes Other Than BJP]]</f>
        <v>-222170</v>
      </c>
      <c r="S440" s="10">
        <f>Telengana_Results_2024[[#This Row],[BJP vote share]]-Telengana_Results_2024[[#This Row],[Max Vote share other than bjp ]]</f>
        <v>-0.15906210846000002</v>
      </c>
      <c r="T440">
        <v>1809241</v>
      </c>
      <c r="U440" s="8">
        <v>0.77475637574</v>
      </c>
      <c r="V440" s="1" t="s">
        <v>68</v>
      </c>
    </row>
    <row r="441" spans="1:22" x14ac:dyDescent="0.35">
      <c r="A441">
        <v>2024</v>
      </c>
      <c r="B441" s="1" t="s">
        <v>19</v>
      </c>
      <c r="C441" s="1" t="s">
        <v>701</v>
      </c>
      <c r="D441" s="1" t="s">
        <v>1292</v>
      </c>
      <c r="E441" s="1" t="s">
        <v>35</v>
      </c>
      <c r="F441" s="1" t="s">
        <v>143</v>
      </c>
      <c r="G441" s="1" t="s">
        <v>67</v>
      </c>
      <c r="H441" s="1" t="s">
        <v>29</v>
      </c>
      <c r="I441" s="1" t="s">
        <v>30</v>
      </c>
      <c r="J441">
        <v>1269265</v>
      </c>
      <c r="K441">
        <v>1259566</v>
      </c>
      <c r="L441">
        <v>581294</v>
      </c>
      <c r="M441" s="9">
        <v>0.46150340673000001</v>
      </c>
      <c r="N441">
        <v>581294</v>
      </c>
      <c r="O441" s="9">
        <v>0.46150340673000001</v>
      </c>
      <c r="P441">
        <v>360955</v>
      </c>
      <c r="Q441" s="9">
        <v>0.28657092999</v>
      </c>
      <c r="R441">
        <f>Telengana_Results_2024[[#This Row],[BJP votes]]-Telengana_Results_2024[[#This Row],[Max Votes Other Than BJP]]</f>
        <v>-220339</v>
      </c>
      <c r="S441" s="10">
        <f>Telengana_Results_2024[[#This Row],[BJP vote share]]-Telengana_Results_2024[[#This Row],[Max Vote share other than bjp ]]</f>
        <v>-0.17493247674000001</v>
      </c>
      <c r="T441">
        <v>1825492</v>
      </c>
      <c r="U441" s="8">
        <v>0.69530022590999996</v>
      </c>
      <c r="V441" s="1" t="s">
        <v>68</v>
      </c>
    </row>
    <row r="442" spans="1:22" x14ac:dyDescent="0.35">
      <c r="A442">
        <v>2024</v>
      </c>
      <c r="B442" s="1" t="s">
        <v>19</v>
      </c>
      <c r="C442" s="1" t="s">
        <v>701</v>
      </c>
      <c r="D442" s="1" t="s">
        <v>1293</v>
      </c>
      <c r="E442" s="1" t="s">
        <v>21</v>
      </c>
      <c r="F442" s="1" t="s">
        <v>91</v>
      </c>
      <c r="G442" s="1" t="s">
        <v>67</v>
      </c>
      <c r="H442" s="1" t="s">
        <v>32</v>
      </c>
      <c r="I442" s="1" t="s">
        <v>33</v>
      </c>
      <c r="J442">
        <v>1269265</v>
      </c>
      <c r="K442">
        <v>1259566</v>
      </c>
      <c r="L442">
        <v>360955</v>
      </c>
      <c r="M442" s="9">
        <v>0.28657092999</v>
      </c>
      <c r="N442">
        <v>581294</v>
      </c>
      <c r="O442" s="9">
        <v>0.46150340673000001</v>
      </c>
      <c r="P442">
        <v>360955</v>
      </c>
      <c r="Q442" s="9">
        <v>0.28657092999</v>
      </c>
      <c r="R442">
        <f>Telengana_Results_2024[[#This Row],[BJP votes]]-Telengana_Results_2024[[#This Row],[Max Votes Other Than BJP]]</f>
        <v>-220339</v>
      </c>
      <c r="S442" s="10">
        <f>Telengana_Results_2024[[#This Row],[BJP vote share]]-Telengana_Results_2024[[#This Row],[Max Vote share other than bjp ]]</f>
        <v>-0.17493247674000001</v>
      </c>
      <c r="T442">
        <v>1825492</v>
      </c>
      <c r="U442" s="8">
        <v>0.69530022590999996</v>
      </c>
      <c r="V442" s="1" t="s">
        <v>68</v>
      </c>
    </row>
    <row r="443" spans="1:22" x14ac:dyDescent="0.35">
      <c r="A443">
        <v>2024</v>
      </c>
      <c r="B443" s="1" t="s">
        <v>19</v>
      </c>
      <c r="C443" s="1" t="s">
        <v>701</v>
      </c>
      <c r="D443" s="1" t="s">
        <v>1294</v>
      </c>
      <c r="E443" s="1" t="s">
        <v>21</v>
      </c>
      <c r="F443" s="1" t="s">
        <v>145</v>
      </c>
      <c r="G443" s="1" t="s">
        <v>67</v>
      </c>
      <c r="H443" s="1" t="s">
        <v>785</v>
      </c>
      <c r="I443" s="1" t="s">
        <v>25</v>
      </c>
      <c r="J443">
        <v>1269265</v>
      </c>
      <c r="K443">
        <v>1259566</v>
      </c>
      <c r="L443">
        <v>232033</v>
      </c>
      <c r="M443" s="9">
        <v>0.18421662699999999</v>
      </c>
      <c r="N443">
        <v>581294</v>
      </c>
      <c r="O443" s="9">
        <v>0.46150340673000001</v>
      </c>
      <c r="P443">
        <v>360955</v>
      </c>
      <c r="Q443" s="9">
        <v>0.28657092999</v>
      </c>
      <c r="R443">
        <f>Telengana_Results_2024[[#This Row],[BJP votes]]-Telengana_Results_2024[[#This Row],[Max Votes Other Than BJP]]</f>
        <v>-220339</v>
      </c>
      <c r="S443" s="10">
        <f>Telengana_Results_2024[[#This Row],[BJP vote share]]-Telengana_Results_2024[[#This Row],[Max Vote share other than bjp ]]</f>
        <v>-0.17493247674000001</v>
      </c>
      <c r="T443">
        <v>1825492</v>
      </c>
      <c r="U443" s="8">
        <v>0.69530022590999996</v>
      </c>
      <c r="V443" s="1" t="s">
        <v>68</v>
      </c>
    </row>
    <row r="444" spans="1:22" x14ac:dyDescent="0.35">
      <c r="A444">
        <v>2024</v>
      </c>
      <c r="B444" s="1" t="s">
        <v>19</v>
      </c>
      <c r="C444" s="1" t="s">
        <v>701</v>
      </c>
      <c r="D444" s="1" t="s">
        <v>1295</v>
      </c>
      <c r="E444" s="1" t="s">
        <v>21</v>
      </c>
      <c r="F444" s="1" t="s">
        <v>155</v>
      </c>
      <c r="G444" s="1" t="s">
        <v>67</v>
      </c>
      <c r="H444" s="1" t="s">
        <v>787</v>
      </c>
      <c r="I444" s="1" t="s">
        <v>788</v>
      </c>
      <c r="J444">
        <v>1269265</v>
      </c>
      <c r="K444">
        <v>1259566</v>
      </c>
      <c r="L444">
        <v>11115</v>
      </c>
      <c r="M444" s="9">
        <v>8.8244681104000001E-3</v>
      </c>
      <c r="N444">
        <v>581294</v>
      </c>
      <c r="O444" s="9">
        <v>0.46150340673000001</v>
      </c>
      <c r="P444">
        <v>360955</v>
      </c>
      <c r="Q444" s="9">
        <v>0.28657092999</v>
      </c>
      <c r="R444">
        <f>Telengana_Results_2024[[#This Row],[BJP votes]]-Telengana_Results_2024[[#This Row],[Max Votes Other Than BJP]]</f>
        <v>-220339</v>
      </c>
      <c r="S444" s="10">
        <f>Telengana_Results_2024[[#This Row],[BJP vote share]]-Telengana_Results_2024[[#This Row],[Max Vote share other than bjp ]]</f>
        <v>-0.17493247674000001</v>
      </c>
      <c r="T444">
        <v>1825492</v>
      </c>
      <c r="U444" s="8">
        <v>0.69530022590999996</v>
      </c>
      <c r="V444" s="1" t="s">
        <v>68</v>
      </c>
    </row>
    <row r="445" spans="1:22" x14ac:dyDescent="0.35">
      <c r="A445">
        <v>2024</v>
      </c>
      <c r="B445" s="1" t="s">
        <v>19</v>
      </c>
      <c r="C445" s="1" t="s">
        <v>701</v>
      </c>
      <c r="D445" s="1" t="s">
        <v>1296</v>
      </c>
      <c r="E445" s="1" t="s">
        <v>35</v>
      </c>
      <c r="F445" s="1" t="s">
        <v>143</v>
      </c>
      <c r="G445" s="1" t="s">
        <v>67</v>
      </c>
      <c r="H445" s="1" t="s">
        <v>72</v>
      </c>
      <c r="I445" s="1" t="s">
        <v>73</v>
      </c>
      <c r="J445">
        <v>1269265</v>
      </c>
      <c r="K445">
        <v>1259566</v>
      </c>
      <c r="L445">
        <v>9327</v>
      </c>
      <c r="M445" s="9">
        <v>7.4049315398999997E-3</v>
      </c>
      <c r="N445">
        <v>581294</v>
      </c>
      <c r="O445" s="9">
        <v>0.46150340673000001</v>
      </c>
      <c r="P445">
        <v>360955</v>
      </c>
      <c r="Q445" s="9">
        <v>0.28657092999</v>
      </c>
      <c r="R445">
        <f>Telengana_Results_2024[[#This Row],[BJP votes]]-Telengana_Results_2024[[#This Row],[Max Votes Other Than BJP]]</f>
        <v>-220339</v>
      </c>
      <c r="S445" s="10">
        <f>Telengana_Results_2024[[#This Row],[BJP vote share]]-Telengana_Results_2024[[#This Row],[Max Vote share other than bjp ]]</f>
        <v>-0.17493247674000001</v>
      </c>
      <c r="T445">
        <v>1825492</v>
      </c>
      <c r="U445" s="8">
        <v>0.69530022590999996</v>
      </c>
      <c r="V445" s="1" t="s">
        <v>68</v>
      </c>
    </row>
    <row r="446" spans="1:22" x14ac:dyDescent="0.35">
      <c r="A446">
        <v>2024</v>
      </c>
      <c r="B446" s="1" t="s">
        <v>19</v>
      </c>
      <c r="C446" s="1" t="s">
        <v>701</v>
      </c>
      <c r="D446" s="1" t="s">
        <v>64</v>
      </c>
      <c r="E446" s="1" t="s">
        <v>64</v>
      </c>
      <c r="F446" s="1" t="s">
        <v>64</v>
      </c>
      <c r="G446" s="1" t="s">
        <v>64</v>
      </c>
      <c r="H446" s="1" t="s">
        <v>64</v>
      </c>
      <c r="I446" s="1" t="s">
        <v>64</v>
      </c>
      <c r="J446">
        <v>1269265</v>
      </c>
      <c r="K446">
        <v>1259566</v>
      </c>
      <c r="L446">
        <v>8380</v>
      </c>
      <c r="M446" s="9">
        <v>6.6530852690999997E-3</v>
      </c>
      <c r="N446">
        <v>581294</v>
      </c>
      <c r="O446" s="9">
        <v>0.46150340673000001</v>
      </c>
      <c r="P446">
        <v>360955</v>
      </c>
      <c r="Q446" s="9">
        <v>0.28657092999</v>
      </c>
      <c r="R446">
        <f>Telengana_Results_2024[[#This Row],[BJP votes]]-Telengana_Results_2024[[#This Row],[Max Votes Other Than BJP]]</f>
        <v>-220339</v>
      </c>
      <c r="S446" s="10">
        <f>Telengana_Results_2024[[#This Row],[BJP vote share]]-Telengana_Results_2024[[#This Row],[Max Vote share other than bjp ]]</f>
        <v>-0.17493247674000001</v>
      </c>
      <c r="T446">
        <v>1825492</v>
      </c>
      <c r="U446" s="8">
        <v>0.69530022590999996</v>
      </c>
      <c r="V446" s="1" t="s">
        <v>68</v>
      </c>
    </row>
    <row r="447" spans="1:22" x14ac:dyDescent="0.35">
      <c r="A447">
        <v>2024</v>
      </c>
      <c r="B447" s="1" t="s">
        <v>19</v>
      </c>
      <c r="C447" s="1" t="s">
        <v>701</v>
      </c>
      <c r="D447" s="1" t="s">
        <v>1297</v>
      </c>
      <c r="E447" s="1" t="s">
        <v>21</v>
      </c>
      <c r="F447" s="1" t="s">
        <v>62</v>
      </c>
      <c r="G447" s="1" t="s">
        <v>67</v>
      </c>
      <c r="H447" s="1" t="s">
        <v>53</v>
      </c>
      <c r="I447" s="1" t="s">
        <v>796</v>
      </c>
      <c r="J447">
        <v>1269265</v>
      </c>
      <c r="K447">
        <v>1259566</v>
      </c>
      <c r="L447">
        <v>6259</v>
      </c>
      <c r="M447" s="9">
        <v>4.9691719210999998E-3</v>
      </c>
      <c r="N447">
        <v>581294</v>
      </c>
      <c r="O447" s="9">
        <v>0.46150340673000001</v>
      </c>
      <c r="P447">
        <v>360955</v>
      </c>
      <c r="Q447" s="9">
        <v>0.28657092999</v>
      </c>
      <c r="R447">
        <f>Telengana_Results_2024[[#This Row],[BJP votes]]-Telengana_Results_2024[[#This Row],[Max Votes Other Than BJP]]</f>
        <v>-220339</v>
      </c>
      <c r="S447" s="10">
        <f>Telengana_Results_2024[[#This Row],[BJP vote share]]-Telengana_Results_2024[[#This Row],[Max Vote share other than bjp ]]</f>
        <v>-0.17493247674000001</v>
      </c>
      <c r="T447">
        <v>1825492</v>
      </c>
      <c r="U447" s="8">
        <v>0.69530022590999996</v>
      </c>
      <c r="V447" s="1" t="s">
        <v>68</v>
      </c>
    </row>
    <row r="448" spans="1:22" x14ac:dyDescent="0.35">
      <c r="A448">
        <v>2024</v>
      </c>
      <c r="B448" s="1" t="s">
        <v>19</v>
      </c>
      <c r="C448" s="1" t="s">
        <v>701</v>
      </c>
      <c r="D448" s="1" t="s">
        <v>1291</v>
      </c>
      <c r="E448" s="1" t="s">
        <v>21</v>
      </c>
      <c r="F448" s="1" t="s">
        <v>71</v>
      </c>
      <c r="G448" s="1" t="s">
        <v>67</v>
      </c>
      <c r="H448" s="1" t="s">
        <v>53</v>
      </c>
      <c r="I448" s="1" t="s">
        <v>54</v>
      </c>
      <c r="J448">
        <v>1269265</v>
      </c>
      <c r="K448">
        <v>1259566</v>
      </c>
      <c r="L448">
        <v>4486</v>
      </c>
      <c r="M448" s="9">
        <v>3.5615442144000002E-3</v>
      </c>
      <c r="N448">
        <v>581294</v>
      </c>
      <c r="O448" s="9">
        <v>0.46150340673000001</v>
      </c>
      <c r="P448">
        <v>360955</v>
      </c>
      <c r="Q448" s="9">
        <v>0.28657092999</v>
      </c>
      <c r="R448">
        <f>Telengana_Results_2024[[#This Row],[BJP votes]]-Telengana_Results_2024[[#This Row],[Max Votes Other Than BJP]]</f>
        <v>-220339</v>
      </c>
      <c r="S448" s="10">
        <f>Telengana_Results_2024[[#This Row],[BJP vote share]]-Telengana_Results_2024[[#This Row],[Max Vote share other than bjp ]]</f>
        <v>-0.17493247674000001</v>
      </c>
      <c r="T448">
        <v>1825492</v>
      </c>
      <c r="U448" s="8">
        <v>0.69530022590999996</v>
      </c>
      <c r="V448" s="1" t="s">
        <v>68</v>
      </c>
    </row>
    <row r="449" spans="1:22" x14ac:dyDescent="0.35">
      <c r="A449">
        <v>2024</v>
      </c>
      <c r="B449" s="1" t="s">
        <v>19</v>
      </c>
      <c r="C449" s="1" t="s">
        <v>701</v>
      </c>
      <c r="D449" s="1" t="s">
        <v>709</v>
      </c>
      <c r="E449" s="1" t="s">
        <v>35</v>
      </c>
      <c r="F449" s="1" t="s">
        <v>176</v>
      </c>
      <c r="G449" s="1" t="s">
        <v>67</v>
      </c>
      <c r="H449" s="1" t="s">
        <v>710</v>
      </c>
      <c r="I449" s="1" t="s">
        <v>406</v>
      </c>
      <c r="J449">
        <v>1269265</v>
      </c>
      <c r="K449">
        <v>1259566</v>
      </c>
      <c r="L449">
        <v>4265</v>
      </c>
      <c r="M449" s="9">
        <v>3.3860869537999999E-3</v>
      </c>
      <c r="N449">
        <v>581294</v>
      </c>
      <c r="O449" s="9">
        <v>0.46150340673000001</v>
      </c>
      <c r="P449">
        <v>360955</v>
      </c>
      <c r="Q449" s="9">
        <v>0.28657092999</v>
      </c>
      <c r="R449">
        <f>Telengana_Results_2024[[#This Row],[BJP votes]]-Telengana_Results_2024[[#This Row],[Max Votes Other Than BJP]]</f>
        <v>-220339</v>
      </c>
      <c r="S449" s="10">
        <f>Telengana_Results_2024[[#This Row],[BJP vote share]]-Telengana_Results_2024[[#This Row],[Max Vote share other than bjp ]]</f>
        <v>-0.17493247674000001</v>
      </c>
      <c r="T449">
        <v>1825492</v>
      </c>
      <c r="U449" s="8">
        <v>0.69530022590999996</v>
      </c>
      <c r="V449" s="1" t="s">
        <v>68</v>
      </c>
    </row>
    <row r="450" spans="1:22" x14ac:dyDescent="0.35">
      <c r="A450">
        <v>2024</v>
      </c>
      <c r="B450" s="1" t="s">
        <v>19</v>
      </c>
      <c r="C450" s="1" t="s">
        <v>701</v>
      </c>
      <c r="D450" s="1" t="s">
        <v>1298</v>
      </c>
      <c r="E450" s="1" t="s">
        <v>21</v>
      </c>
      <c r="F450" s="1" t="s">
        <v>36</v>
      </c>
      <c r="G450" s="1" t="s">
        <v>67</v>
      </c>
      <c r="H450" s="1" t="s">
        <v>798</v>
      </c>
      <c r="I450" s="1" t="s">
        <v>749</v>
      </c>
      <c r="J450">
        <v>1269265</v>
      </c>
      <c r="K450">
        <v>1259566</v>
      </c>
      <c r="L450">
        <v>4038</v>
      </c>
      <c r="M450" s="9">
        <v>3.2058661475E-3</v>
      </c>
      <c r="N450">
        <v>581294</v>
      </c>
      <c r="O450" s="9">
        <v>0.46150340673000001</v>
      </c>
      <c r="P450">
        <v>360955</v>
      </c>
      <c r="Q450" s="9">
        <v>0.28657092999</v>
      </c>
      <c r="R450">
        <f>Telengana_Results_2024[[#This Row],[BJP votes]]-Telengana_Results_2024[[#This Row],[Max Votes Other Than BJP]]</f>
        <v>-220339</v>
      </c>
      <c r="S450" s="10">
        <f>Telengana_Results_2024[[#This Row],[BJP vote share]]-Telengana_Results_2024[[#This Row],[Max Vote share other than bjp ]]</f>
        <v>-0.17493247674000001</v>
      </c>
      <c r="T450">
        <v>1825492</v>
      </c>
      <c r="U450" s="8">
        <v>0.69530022590999996</v>
      </c>
      <c r="V450" s="1" t="s">
        <v>68</v>
      </c>
    </row>
    <row r="451" spans="1:22" x14ac:dyDescent="0.35">
      <c r="A451">
        <v>2024</v>
      </c>
      <c r="B451" s="1" t="s">
        <v>19</v>
      </c>
      <c r="C451" s="1" t="s">
        <v>701</v>
      </c>
      <c r="D451" s="1" t="s">
        <v>1299</v>
      </c>
      <c r="E451" s="1" t="s">
        <v>21</v>
      </c>
      <c r="F451" s="1" t="s">
        <v>95</v>
      </c>
      <c r="G451" s="1" t="s">
        <v>67</v>
      </c>
      <c r="H451" s="1" t="s">
        <v>1300</v>
      </c>
      <c r="I451" s="1" t="s">
        <v>184</v>
      </c>
      <c r="J451">
        <v>1269265</v>
      </c>
      <c r="K451">
        <v>1259566</v>
      </c>
      <c r="L451">
        <v>3634</v>
      </c>
      <c r="M451" s="9">
        <v>2.8851207478999999E-3</v>
      </c>
      <c r="N451">
        <v>581294</v>
      </c>
      <c r="O451" s="9">
        <v>0.46150340673000001</v>
      </c>
      <c r="P451">
        <v>360955</v>
      </c>
      <c r="Q451" s="9">
        <v>0.28657092999</v>
      </c>
      <c r="R451">
        <f>Telengana_Results_2024[[#This Row],[BJP votes]]-Telengana_Results_2024[[#This Row],[Max Votes Other Than BJP]]</f>
        <v>-220339</v>
      </c>
      <c r="S451" s="10">
        <f>Telengana_Results_2024[[#This Row],[BJP vote share]]-Telengana_Results_2024[[#This Row],[Max Vote share other than bjp ]]</f>
        <v>-0.17493247674000001</v>
      </c>
      <c r="T451">
        <v>1825492</v>
      </c>
      <c r="U451" s="8">
        <v>0.69530022590999996</v>
      </c>
      <c r="V451" s="1" t="s">
        <v>68</v>
      </c>
    </row>
    <row r="452" spans="1:22" x14ac:dyDescent="0.35">
      <c r="A452">
        <v>2024</v>
      </c>
      <c r="B452" s="1" t="s">
        <v>19</v>
      </c>
      <c r="C452" s="1" t="s">
        <v>701</v>
      </c>
      <c r="D452" s="1" t="s">
        <v>1301</v>
      </c>
      <c r="E452" s="1" t="s">
        <v>21</v>
      </c>
      <c r="F452" s="1" t="s">
        <v>125</v>
      </c>
      <c r="G452" s="1" t="s">
        <v>67</v>
      </c>
      <c r="H452" s="1" t="s">
        <v>53</v>
      </c>
      <c r="I452" s="1" t="s">
        <v>208</v>
      </c>
      <c r="J452">
        <v>1269265</v>
      </c>
      <c r="K452">
        <v>1259566</v>
      </c>
      <c r="L452">
        <v>3286</v>
      </c>
      <c r="M452" s="9">
        <v>2.6088351066999999E-3</v>
      </c>
      <c r="N452">
        <v>581294</v>
      </c>
      <c r="O452" s="9">
        <v>0.46150340673000001</v>
      </c>
      <c r="P452">
        <v>360955</v>
      </c>
      <c r="Q452" s="9">
        <v>0.28657092999</v>
      </c>
      <c r="R452">
        <f>Telengana_Results_2024[[#This Row],[BJP votes]]-Telengana_Results_2024[[#This Row],[Max Votes Other Than BJP]]</f>
        <v>-220339</v>
      </c>
      <c r="S452" s="10">
        <f>Telengana_Results_2024[[#This Row],[BJP vote share]]-Telengana_Results_2024[[#This Row],[Max Vote share other than bjp ]]</f>
        <v>-0.17493247674000001</v>
      </c>
      <c r="T452">
        <v>1825492</v>
      </c>
      <c r="U452" s="8">
        <v>0.69530022590999996</v>
      </c>
      <c r="V452" s="1" t="s">
        <v>68</v>
      </c>
    </row>
    <row r="453" spans="1:22" x14ac:dyDescent="0.35">
      <c r="A453">
        <v>2024</v>
      </c>
      <c r="B453" s="1" t="s">
        <v>19</v>
      </c>
      <c r="C453" s="1" t="s">
        <v>701</v>
      </c>
      <c r="D453" s="1" t="s">
        <v>1302</v>
      </c>
      <c r="E453" s="1" t="s">
        <v>35</v>
      </c>
      <c r="F453" s="1" t="s">
        <v>183</v>
      </c>
      <c r="G453" s="1" t="s">
        <v>67</v>
      </c>
      <c r="H453" s="1" t="s">
        <v>53</v>
      </c>
      <c r="I453" s="1" t="s">
        <v>826</v>
      </c>
      <c r="J453">
        <v>1269265</v>
      </c>
      <c r="K453">
        <v>1259566</v>
      </c>
      <c r="L453">
        <v>3022</v>
      </c>
      <c r="M453" s="9">
        <v>2.3992391030000001E-3</v>
      </c>
      <c r="N453">
        <v>581294</v>
      </c>
      <c r="O453" s="9">
        <v>0.46150340673000001</v>
      </c>
      <c r="P453">
        <v>360955</v>
      </c>
      <c r="Q453" s="9">
        <v>0.28657092999</v>
      </c>
      <c r="R453">
        <f>Telengana_Results_2024[[#This Row],[BJP votes]]-Telengana_Results_2024[[#This Row],[Max Votes Other Than BJP]]</f>
        <v>-220339</v>
      </c>
      <c r="S453" s="10">
        <f>Telengana_Results_2024[[#This Row],[BJP vote share]]-Telengana_Results_2024[[#This Row],[Max Vote share other than bjp ]]</f>
        <v>-0.17493247674000001</v>
      </c>
      <c r="T453">
        <v>1825492</v>
      </c>
      <c r="U453" s="8">
        <v>0.69530022590999996</v>
      </c>
      <c r="V453" s="1" t="s">
        <v>68</v>
      </c>
    </row>
    <row r="454" spans="1:22" x14ac:dyDescent="0.35">
      <c r="A454">
        <v>2024</v>
      </c>
      <c r="B454" s="1" t="s">
        <v>19</v>
      </c>
      <c r="C454" s="1" t="s">
        <v>701</v>
      </c>
      <c r="D454" s="1" t="s">
        <v>1303</v>
      </c>
      <c r="E454" s="1" t="s">
        <v>21</v>
      </c>
      <c r="F454" s="1" t="s">
        <v>125</v>
      </c>
      <c r="G454" s="1" t="s">
        <v>67</v>
      </c>
      <c r="H454" s="1" t="s">
        <v>53</v>
      </c>
      <c r="I454" s="1" t="s">
        <v>46</v>
      </c>
      <c r="J454">
        <v>1269265</v>
      </c>
      <c r="K454">
        <v>1259566</v>
      </c>
      <c r="L454">
        <v>2949</v>
      </c>
      <c r="M454" s="9">
        <v>2.3412826323000002E-3</v>
      </c>
      <c r="N454">
        <v>581294</v>
      </c>
      <c r="O454" s="9">
        <v>0.46150340673000001</v>
      </c>
      <c r="P454">
        <v>360955</v>
      </c>
      <c r="Q454" s="9">
        <v>0.28657092999</v>
      </c>
      <c r="R454">
        <f>Telengana_Results_2024[[#This Row],[BJP votes]]-Telengana_Results_2024[[#This Row],[Max Votes Other Than BJP]]</f>
        <v>-220339</v>
      </c>
      <c r="S454" s="10">
        <f>Telengana_Results_2024[[#This Row],[BJP vote share]]-Telengana_Results_2024[[#This Row],[Max Vote share other than bjp ]]</f>
        <v>-0.17493247674000001</v>
      </c>
      <c r="T454">
        <v>1825492</v>
      </c>
      <c r="U454" s="8">
        <v>0.69530022590999996</v>
      </c>
      <c r="V454" s="1" t="s">
        <v>68</v>
      </c>
    </row>
    <row r="455" spans="1:22" x14ac:dyDescent="0.35">
      <c r="A455">
        <v>2024</v>
      </c>
      <c r="B455" s="1" t="s">
        <v>19</v>
      </c>
      <c r="C455" s="1" t="s">
        <v>701</v>
      </c>
      <c r="D455" s="1" t="s">
        <v>1304</v>
      </c>
      <c r="E455" s="1" t="s">
        <v>21</v>
      </c>
      <c r="F455" s="1" t="s">
        <v>135</v>
      </c>
      <c r="G455" s="1" t="s">
        <v>67</v>
      </c>
      <c r="H455" s="1" t="s">
        <v>1270</v>
      </c>
      <c r="I455" s="1" t="s">
        <v>828</v>
      </c>
      <c r="J455">
        <v>1269265</v>
      </c>
      <c r="K455">
        <v>1259566</v>
      </c>
      <c r="L455">
        <v>2773</v>
      </c>
      <c r="M455" s="9">
        <v>2.2015519630999999E-3</v>
      </c>
      <c r="N455">
        <v>581294</v>
      </c>
      <c r="O455" s="9">
        <v>0.46150340673000001</v>
      </c>
      <c r="P455">
        <v>360955</v>
      </c>
      <c r="Q455" s="9">
        <v>0.28657092999</v>
      </c>
      <c r="R455">
        <f>Telengana_Results_2024[[#This Row],[BJP votes]]-Telengana_Results_2024[[#This Row],[Max Votes Other Than BJP]]</f>
        <v>-220339</v>
      </c>
      <c r="S455" s="10">
        <f>Telengana_Results_2024[[#This Row],[BJP vote share]]-Telengana_Results_2024[[#This Row],[Max Vote share other than bjp ]]</f>
        <v>-0.17493247674000001</v>
      </c>
      <c r="T455">
        <v>1825492</v>
      </c>
      <c r="U455" s="8">
        <v>0.69530022590999996</v>
      </c>
      <c r="V455" s="1" t="s">
        <v>68</v>
      </c>
    </row>
    <row r="456" spans="1:22" x14ac:dyDescent="0.35">
      <c r="A456">
        <v>2024</v>
      </c>
      <c r="B456" s="1" t="s">
        <v>19</v>
      </c>
      <c r="C456" s="1" t="s">
        <v>701</v>
      </c>
      <c r="D456" s="1" t="s">
        <v>1305</v>
      </c>
      <c r="E456" s="1" t="s">
        <v>21</v>
      </c>
      <c r="F456" s="1" t="s">
        <v>28</v>
      </c>
      <c r="G456" s="1" t="s">
        <v>67</v>
      </c>
      <c r="H456" s="1" t="s">
        <v>1306</v>
      </c>
      <c r="I456" s="1" t="s">
        <v>250</v>
      </c>
      <c r="J456">
        <v>1269265</v>
      </c>
      <c r="K456">
        <v>1259566</v>
      </c>
      <c r="L456">
        <v>2239</v>
      </c>
      <c r="M456" s="9">
        <v>1.7775964102E-3</v>
      </c>
      <c r="N456">
        <v>581294</v>
      </c>
      <c r="O456" s="9">
        <v>0.46150340673000001</v>
      </c>
      <c r="P456">
        <v>360955</v>
      </c>
      <c r="Q456" s="9">
        <v>0.28657092999</v>
      </c>
      <c r="R456">
        <f>Telengana_Results_2024[[#This Row],[BJP votes]]-Telengana_Results_2024[[#This Row],[Max Votes Other Than BJP]]</f>
        <v>-220339</v>
      </c>
      <c r="S456" s="10">
        <f>Telengana_Results_2024[[#This Row],[BJP vote share]]-Telengana_Results_2024[[#This Row],[Max Vote share other than bjp ]]</f>
        <v>-0.17493247674000001</v>
      </c>
      <c r="T456">
        <v>1825492</v>
      </c>
      <c r="U456" s="8">
        <v>0.69530022590999996</v>
      </c>
      <c r="V456" s="1" t="s">
        <v>68</v>
      </c>
    </row>
    <row r="457" spans="1:22" x14ac:dyDescent="0.35">
      <c r="A457">
        <v>2024</v>
      </c>
      <c r="B457" s="1" t="s">
        <v>19</v>
      </c>
      <c r="C457" s="1" t="s">
        <v>701</v>
      </c>
      <c r="D457" s="1" t="s">
        <v>1307</v>
      </c>
      <c r="E457" s="1" t="s">
        <v>21</v>
      </c>
      <c r="F457" s="1" t="s">
        <v>52</v>
      </c>
      <c r="G457" s="1" t="s">
        <v>67</v>
      </c>
      <c r="H457" s="1" t="s">
        <v>1134</v>
      </c>
      <c r="I457" s="1" t="s">
        <v>820</v>
      </c>
      <c r="J457">
        <v>1269265</v>
      </c>
      <c r="K457">
        <v>1259566</v>
      </c>
      <c r="L457">
        <v>2083</v>
      </c>
      <c r="M457" s="9">
        <v>1.6537442262000001E-3</v>
      </c>
      <c r="N457">
        <v>581294</v>
      </c>
      <c r="O457" s="9">
        <v>0.46150340673000001</v>
      </c>
      <c r="P457">
        <v>360955</v>
      </c>
      <c r="Q457" s="9">
        <v>0.28657092999</v>
      </c>
      <c r="R457">
        <f>Telengana_Results_2024[[#This Row],[BJP votes]]-Telengana_Results_2024[[#This Row],[Max Votes Other Than BJP]]</f>
        <v>-220339</v>
      </c>
      <c r="S457" s="10">
        <f>Telengana_Results_2024[[#This Row],[BJP vote share]]-Telengana_Results_2024[[#This Row],[Max Vote share other than bjp ]]</f>
        <v>-0.17493247674000001</v>
      </c>
      <c r="T457">
        <v>1825492</v>
      </c>
      <c r="U457" s="8">
        <v>0.69530022590999996</v>
      </c>
      <c r="V457" s="1" t="s">
        <v>68</v>
      </c>
    </row>
    <row r="458" spans="1:22" x14ac:dyDescent="0.35">
      <c r="A458">
        <v>2024</v>
      </c>
      <c r="B458" s="1" t="s">
        <v>19</v>
      </c>
      <c r="C458" s="1" t="s">
        <v>701</v>
      </c>
      <c r="D458" s="1" t="s">
        <v>1308</v>
      </c>
      <c r="E458" s="1" t="s">
        <v>21</v>
      </c>
      <c r="F458" s="1" t="s">
        <v>117</v>
      </c>
      <c r="G458" s="1" t="s">
        <v>67</v>
      </c>
      <c r="H458" s="1" t="s">
        <v>53</v>
      </c>
      <c r="I458" s="1" t="s">
        <v>1121</v>
      </c>
      <c r="J458">
        <v>1269265</v>
      </c>
      <c r="K458">
        <v>1259566</v>
      </c>
      <c r="L458">
        <v>1955</v>
      </c>
      <c r="M458" s="9">
        <v>1.5521219214E-3</v>
      </c>
      <c r="N458">
        <v>581294</v>
      </c>
      <c r="O458" s="9">
        <v>0.46150340673000001</v>
      </c>
      <c r="P458">
        <v>360955</v>
      </c>
      <c r="Q458" s="9">
        <v>0.28657092999</v>
      </c>
      <c r="R458">
        <f>Telengana_Results_2024[[#This Row],[BJP votes]]-Telengana_Results_2024[[#This Row],[Max Votes Other Than BJP]]</f>
        <v>-220339</v>
      </c>
      <c r="S458" s="10">
        <f>Telengana_Results_2024[[#This Row],[BJP vote share]]-Telengana_Results_2024[[#This Row],[Max Vote share other than bjp ]]</f>
        <v>-0.17493247674000001</v>
      </c>
      <c r="T458">
        <v>1825492</v>
      </c>
      <c r="U458" s="8">
        <v>0.69530022590999996</v>
      </c>
      <c r="V458" s="1" t="s">
        <v>68</v>
      </c>
    </row>
    <row r="459" spans="1:22" x14ac:dyDescent="0.35">
      <c r="A459">
        <v>2024</v>
      </c>
      <c r="B459" s="1" t="s">
        <v>19</v>
      </c>
      <c r="C459" s="1" t="s">
        <v>701</v>
      </c>
      <c r="D459" s="1" t="s">
        <v>1309</v>
      </c>
      <c r="E459" s="1" t="s">
        <v>21</v>
      </c>
      <c r="F459" s="1" t="s">
        <v>234</v>
      </c>
      <c r="G459" s="1" t="s">
        <v>67</v>
      </c>
      <c r="H459" s="1" t="s">
        <v>53</v>
      </c>
      <c r="I459" s="1" t="s">
        <v>818</v>
      </c>
      <c r="J459">
        <v>1269265</v>
      </c>
      <c r="K459">
        <v>1259566</v>
      </c>
      <c r="L459">
        <v>1825</v>
      </c>
      <c r="M459" s="9">
        <v>1.448911768E-3</v>
      </c>
      <c r="N459">
        <v>581294</v>
      </c>
      <c r="O459" s="9">
        <v>0.46150340673000001</v>
      </c>
      <c r="P459">
        <v>360955</v>
      </c>
      <c r="Q459" s="9">
        <v>0.28657092999</v>
      </c>
      <c r="R459">
        <f>Telengana_Results_2024[[#This Row],[BJP votes]]-Telengana_Results_2024[[#This Row],[Max Votes Other Than BJP]]</f>
        <v>-220339</v>
      </c>
      <c r="S459" s="10">
        <f>Telengana_Results_2024[[#This Row],[BJP vote share]]-Telengana_Results_2024[[#This Row],[Max Vote share other than bjp ]]</f>
        <v>-0.17493247674000001</v>
      </c>
      <c r="T459">
        <v>1825492</v>
      </c>
      <c r="U459" s="8">
        <v>0.69530022590999996</v>
      </c>
      <c r="V459" s="1" t="s">
        <v>68</v>
      </c>
    </row>
    <row r="460" spans="1:22" x14ac:dyDescent="0.35">
      <c r="A460">
        <v>2024</v>
      </c>
      <c r="B460" s="1" t="s">
        <v>19</v>
      </c>
      <c r="C460" s="1" t="s">
        <v>701</v>
      </c>
      <c r="D460" s="1" t="s">
        <v>1310</v>
      </c>
      <c r="E460" s="1" t="s">
        <v>21</v>
      </c>
      <c r="F460" s="1" t="s">
        <v>117</v>
      </c>
      <c r="G460" s="1" t="s">
        <v>67</v>
      </c>
      <c r="H460" s="1" t="s">
        <v>1001</v>
      </c>
      <c r="I460" s="1" t="s">
        <v>60</v>
      </c>
      <c r="J460">
        <v>1269265</v>
      </c>
      <c r="K460">
        <v>1259566</v>
      </c>
      <c r="L460">
        <v>1769</v>
      </c>
      <c r="M460" s="9">
        <v>1.4044520097E-3</v>
      </c>
      <c r="N460">
        <v>581294</v>
      </c>
      <c r="O460" s="9">
        <v>0.46150340673000001</v>
      </c>
      <c r="P460">
        <v>360955</v>
      </c>
      <c r="Q460" s="9">
        <v>0.28657092999</v>
      </c>
      <c r="R460">
        <f>Telengana_Results_2024[[#This Row],[BJP votes]]-Telengana_Results_2024[[#This Row],[Max Votes Other Than BJP]]</f>
        <v>-220339</v>
      </c>
      <c r="S460" s="10">
        <f>Telengana_Results_2024[[#This Row],[BJP vote share]]-Telengana_Results_2024[[#This Row],[Max Vote share other than bjp ]]</f>
        <v>-0.17493247674000001</v>
      </c>
      <c r="T460">
        <v>1825492</v>
      </c>
      <c r="U460" s="8">
        <v>0.69530022590999996</v>
      </c>
      <c r="V460" s="1" t="s">
        <v>68</v>
      </c>
    </row>
    <row r="461" spans="1:22" x14ac:dyDescent="0.35">
      <c r="A461">
        <v>2024</v>
      </c>
      <c r="B461" s="1" t="s">
        <v>19</v>
      </c>
      <c r="C461" s="1" t="s">
        <v>701</v>
      </c>
      <c r="D461" s="1" t="s">
        <v>1311</v>
      </c>
      <c r="E461" s="1" t="s">
        <v>35</v>
      </c>
      <c r="F461" s="1" t="s">
        <v>99</v>
      </c>
      <c r="G461" s="1" t="s">
        <v>67</v>
      </c>
      <c r="H461" s="1" t="s">
        <v>77</v>
      </c>
      <c r="I461" s="1" t="s">
        <v>139</v>
      </c>
      <c r="J461">
        <v>1269265</v>
      </c>
      <c r="K461">
        <v>1259566</v>
      </c>
      <c r="L461">
        <v>1664</v>
      </c>
      <c r="M461" s="9">
        <v>1.3210899626999999E-3</v>
      </c>
      <c r="N461">
        <v>581294</v>
      </c>
      <c r="O461" s="9">
        <v>0.46150340673000001</v>
      </c>
      <c r="P461">
        <v>360955</v>
      </c>
      <c r="Q461" s="9">
        <v>0.28657092999</v>
      </c>
      <c r="R461">
        <f>Telengana_Results_2024[[#This Row],[BJP votes]]-Telengana_Results_2024[[#This Row],[Max Votes Other Than BJP]]</f>
        <v>-220339</v>
      </c>
      <c r="S461" s="10">
        <f>Telengana_Results_2024[[#This Row],[BJP vote share]]-Telengana_Results_2024[[#This Row],[Max Vote share other than bjp ]]</f>
        <v>-0.17493247674000001</v>
      </c>
      <c r="T461">
        <v>1825492</v>
      </c>
      <c r="U461" s="8">
        <v>0.69530022590999996</v>
      </c>
      <c r="V461" s="1" t="s">
        <v>68</v>
      </c>
    </row>
    <row r="462" spans="1:22" x14ac:dyDescent="0.35">
      <c r="A462">
        <v>2024</v>
      </c>
      <c r="B462" s="1" t="s">
        <v>19</v>
      </c>
      <c r="C462" s="1" t="s">
        <v>701</v>
      </c>
      <c r="D462" s="1" t="s">
        <v>1312</v>
      </c>
      <c r="E462" s="1" t="s">
        <v>35</v>
      </c>
      <c r="F462" s="1" t="s">
        <v>95</v>
      </c>
      <c r="G462" s="1" t="s">
        <v>67</v>
      </c>
      <c r="H462" s="1" t="s">
        <v>53</v>
      </c>
      <c r="I462" s="1" t="s">
        <v>425</v>
      </c>
      <c r="J462">
        <v>1269265</v>
      </c>
      <c r="K462">
        <v>1259566</v>
      </c>
      <c r="L462">
        <v>1659</v>
      </c>
      <c r="M462" s="9">
        <v>1.3171203414999999E-3</v>
      </c>
      <c r="N462">
        <v>581294</v>
      </c>
      <c r="O462" s="9">
        <v>0.46150340673000001</v>
      </c>
      <c r="P462">
        <v>360955</v>
      </c>
      <c r="Q462" s="9">
        <v>0.28657092999</v>
      </c>
      <c r="R462">
        <f>Telengana_Results_2024[[#This Row],[BJP votes]]-Telengana_Results_2024[[#This Row],[Max Votes Other Than BJP]]</f>
        <v>-220339</v>
      </c>
      <c r="S462" s="10">
        <f>Telengana_Results_2024[[#This Row],[BJP vote share]]-Telengana_Results_2024[[#This Row],[Max Vote share other than bjp ]]</f>
        <v>-0.17493247674000001</v>
      </c>
      <c r="T462">
        <v>1825492</v>
      </c>
      <c r="U462" s="8">
        <v>0.69530022590999996</v>
      </c>
      <c r="V462" s="1" t="s">
        <v>68</v>
      </c>
    </row>
    <row r="463" spans="1:22" x14ac:dyDescent="0.35">
      <c r="A463">
        <v>2024</v>
      </c>
      <c r="B463" s="1" t="s">
        <v>19</v>
      </c>
      <c r="C463" s="1" t="s">
        <v>701</v>
      </c>
      <c r="D463" s="1" t="s">
        <v>1313</v>
      </c>
      <c r="E463" s="1" t="s">
        <v>21</v>
      </c>
      <c r="F463" s="1" t="s">
        <v>36</v>
      </c>
      <c r="G463" s="1" t="s">
        <v>67</v>
      </c>
      <c r="H463" s="1" t="s">
        <v>53</v>
      </c>
      <c r="I463" s="1" t="s">
        <v>133</v>
      </c>
      <c r="J463">
        <v>1269265</v>
      </c>
      <c r="K463">
        <v>1259566</v>
      </c>
      <c r="L463">
        <v>1638</v>
      </c>
      <c r="M463" s="9">
        <v>1.3004479321E-3</v>
      </c>
      <c r="N463">
        <v>581294</v>
      </c>
      <c r="O463" s="9">
        <v>0.46150340673000001</v>
      </c>
      <c r="P463">
        <v>360955</v>
      </c>
      <c r="Q463" s="9">
        <v>0.28657092999</v>
      </c>
      <c r="R463">
        <f>Telengana_Results_2024[[#This Row],[BJP votes]]-Telengana_Results_2024[[#This Row],[Max Votes Other Than BJP]]</f>
        <v>-220339</v>
      </c>
      <c r="S463" s="10">
        <f>Telengana_Results_2024[[#This Row],[BJP vote share]]-Telengana_Results_2024[[#This Row],[Max Vote share other than bjp ]]</f>
        <v>-0.17493247674000001</v>
      </c>
      <c r="T463">
        <v>1825492</v>
      </c>
      <c r="U463" s="8">
        <v>0.69530022590999996</v>
      </c>
      <c r="V463" s="1" t="s">
        <v>68</v>
      </c>
    </row>
    <row r="464" spans="1:22" x14ac:dyDescent="0.35">
      <c r="A464">
        <v>2024</v>
      </c>
      <c r="B464" s="1" t="s">
        <v>19</v>
      </c>
      <c r="C464" s="1" t="s">
        <v>701</v>
      </c>
      <c r="D464" s="1" t="s">
        <v>1314</v>
      </c>
      <c r="E464" s="1" t="s">
        <v>21</v>
      </c>
      <c r="F464" s="1" t="s">
        <v>173</v>
      </c>
      <c r="G464" s="1" t="s">
        <v>67</v>
      </c>
      <c r="H464" s="1" t="s">
        <v>53</v>
      </c>
      <c r="I464" s="1" t="s">
        <v>1315</v>
      </c>
      <c r="J464">
        <v>1269265</v>
      </c>
      <c r="K464">
        <v>1259566</v>
      </c>
      <c r="L464">
        <v>1337</v>
      </c>
      <c r="M464" s="9">
        <v>1.0614767309E-3</v>
      </c>
      <c r="N464">
        <v>581294</v>
      </c>
      <c r="O464" s="9">
        <v>0.46150340673000001</v>
      </c>
      <c r="P464">
        <v>360955</v>
      </c>
      <c r="Q464" s="9">
        <v>0.28657092999</v>
      </c>
      <c r="R464">
        <f>Telengana_Results_2024[[#This Row],[BJP votes]]-Telengana_Results_2024[[#This Row],[Max Votes Other Than BJP]]</f>
        <v>-220339</v>
      </c>
      <c r="S464" s="10">
        <f>Telengana_Results_2024[[#This Row],[BJP vote share]]-Telengana_Results_2024[[#This Row],[Max Vote share other than bjp ]]</f>
        <v>-0.17493247674000001</v>
      </c>
      <c r="T464">
        <v>1825492</v>
      </c>
      <c r="U464" s="8">
        <v>0.69530022590999996</v>
      </c>
      <c r="V464" s="1" t="s">
        <v>68</v>
      </c>
    </row>
    <row r="465" spans="1:22" x14ac:dyDescent="0.35">
      <c r="A465">
        <v>2024</v>
      </c>
      <c r="B465" s="1" t="s">
        <v>19</v>
      </c>
      <c r="C465" s="1" t="s">
        <v>701</v>
      </c>
      <c r="D465" s="1" t="s">
        <v>1316</v>
      </c>
      <c r="E465" s="1" t="s">
        <v>21</v>
      </c>
      <c r="F465" s="1" t="s">
        <v>234</v>
      </c>
      <c r="G465" s="1" t="s">
        <v>67</v>
      </c>
      <c r="H465" s="1" t="s">
        <v>53</v>
      </c>
      <c r="I465" s="1" t="s">
        <v>846</v>
      </c>
      <c r="J465">
        <v>1269265</v>
      </c>
      <c r="K465">
        <v>1259566</v>
      </c>
      <c r="L465">
        <v>1292</v>
      </c>
      <c r="M465" s="9">
        <v>1.0257501393000001E-3</v>
      </c>
      <c r="N465">
        <v>581294</v>
      </c>
      <c r="O465" s="9">
        <v>0.46150340673000001</v>
      </c>
      <c r="P465">
        <v>360955</v>
      </c>
      <c r="Q465" s="9">
        <v>0.28657092999</v>
      </c>
      <c r="R465">
        <f>Telengana_Results_2024[[#This Row],[BJP votes]]-Telengana_Results_2024[[#This Row],[Max Votes Other Than BJP]]</f>
        <v>-220339</v>
      </c>
      <c r="S465" s="10">
        <f>Telengana_Results_2024[[#This Row],[BJP vote share]]-Telengana_Results_2024[[#This Row],[Max Vote share other than bjp ]]</f>
        <v>-0.17493247674000001</v>
      </c>
      <c r="T465">
        <v>1825492</v>
      </c>
      <c r="U465" s="8">
        <v>0.69530022590999996</v>
      </c>
      <c r="V465" s="1" t="s">
        <v>68</v>
      </c>
    </row>
    <row r="466" spans="1:22" x14ac:dyDescent="0.35">
      <c r="A466">
        <v>2024</v>
      </c>
      <c r="B466" s="1" t="s">
        <v>19</v>
      </c>
      <c r="C466" s="1" t="s">
        <v>701</v>
      </c>
      <c r="D466" s="1" t="s">
        <v>1317</v>
      </c>
      <c r="E466" s="1" t="s">
        <v>21</v>
      </c>
      <c r="F466" s="1" t="s">
        <v>125</v>
      </c>
      <c r="G466" s="1" t="s">
        <v>67</v>
      </c>
      <c r="H466" s="1" t="s">
        <v>53</v>
      </c>
      <c r="I466" s="1" t="s">
        <v>911</v>
      </c>
      <c r="J466">
        <v>1269265</v>
      </c>
      <c r="K466">
        <v>1259566</v>
      </c>
      <c r="L466">
        <v>1051</v>
      </c>
      <c r="M466" s="9">
        <v>8.3441439353000005E-4</v>
      </c>
      <c r="N466">
        <v>581294</v>
      </c>
      <c r="O466" s="9">
        <v>0.46150340673000001</v>
      </c>
      <c r="P466">
        <v>360955</v>
      </c>
      <c r="Q466" s="9">
        <v>0.28657092999</v>
      </c>
      <c r="R466">
        <f>Telengana_Results_2024[[#This Row],[BJP votes]]-Telengana_Results_2024[[#This Row],[Max Votes Other Than BJP]]</f>
        <v>-220339</v>
      </c>
      <c r="S466" s="10">
        <f>Telengana_Results_2024[[#This Row],[BJP vote share]]-Telengana_Results_2024[[#This Row],[Max Vote share other than bjp ]]</f>
        <v>-0.17493247674000001</v>
      </c>
      <c r="T466">
        <v>1825492</v>
      </c>
      <c r="U466" s="8">
        <v>0.69530022590999996</v>
      </c>
      <c r="V466" s="1" t="s">
        <v>68</v>
      </c>
    </row>
    <row r="467" spans="1:22" x14ac:dyDescent="0.35">
      <c r="A467">
        <v>2024</v>
      </c>
      <c r="B467" s="1" t="s">
        <v>19</v>
      </c>
      <c r="C467" s="1" t="s">
        <v>701</v>
      </c>
      <c r="D467" s="1" t="s">
        <v>1318</v>
      </c>
      <c r="E467" s="1" t="s">
        <v>35</v>
      </c>
      <c r="F467" s="1" t="s">
        <v>165</v>
      </c>
      <c r="G467" s="1" t="s">
        <v>67</v>
      </c>
      <c r="H467" s="1" t="s">
        <v>92</v>
      </c>
      <c r="I467" s="1" t="s">
        <v>892</v>
      </c>
      <c r="J467">
        <v>1269265</v>
      </c>
      <c r="K467">
        <v>1259566</v>
      </c>
      <c r="L467">
        <v>1023</v>
      </c>
      <c r="M467" s="9">
        <v>8.1218451434999996E-4</v>
      </c>
      <c r="N467">
        <v>581294</v>
      </c>
      <c r="O467" s="9">
        <v>0.46150340673000001</v>
      </c>
      <c r="P467">
        <v>360955</v>
      </c>
      <c r="Q467" s="9">
        <v>0.28657092999</v>
      </c>
      <c r="R467">
        <f>Telengana_Results_2024[[#This Row],[BJP votes]]-Telengana_Results_2024[[#This Row],[Max Votes Other Than BJP]]</f>
        <v>-220339</v>
      </c>
      <c r="S467" s="10">
        <f>Telengana_Results_2024[[#This Row],[BJP vote share]]-Telengana_Results_2024[[#This Row],[Max Vote share other than bjp ]]</f>
        <v>-0.17493247674000001</v>
      </c>
      <c r="T467">
        <v>1825492</v>
      </c>
      <c r="U467" s="8">
        <v>0.69530022590999996</v>
      </c>
      <c r="V467" s="1" t="s">
        <v>68</v>
      </c>
    </row>
    <row r="468" spans="1:22" x14ac:dyDescent="0.35">
      <c r="A468">
        <v>2024</v>
      </c>
      <c r="B468" s="1" t="s">
        <v>19</v>
      </c>
      <c r="C468" s="1" t="s">
        <v>701</v>
      </c>
      <c r="D468" s="1" t="s">
        <v>1319</v>
      </c>
      <c r="E468" s="1" t="s">
        <v>21</v>
      </c>
      <c r="F468" s="1" t="s">
        <v>56</v>
      </c>
      <c r="G468" s="1" t="s">
        <v>67</v>
      </c>
      <c r="H468" s="1" t="s">
        <v>53</v>
      </c>
      <c r="I468" s="1" t="s">
        <v>1192</v>
      </c>
      <c r="J468">
        <v>1269265</v>
      </c>
      <c r="K468">
        <v>1259566</v>
      </c>
      <c r="L468">
        <v>913</v>
      </c>
      <c r="M468" s="9">
        <v>7.2485284613999998E-4</v>
      </c>
      <c r="N468">
        <v>581294</v>
      </c>
      <c r="O468" s="9">
        <v>0.46150340673000001</v>
      </c>
      <c r="P468">
        <v>360955</v>
      </c>
      <c r="Q468" s="9">
        <v>0.28657092999</v>
      </c>
      <c r="R468">
        <f>Telengana_Results_2024[[#This Row],[BJP votes]]-Telengana_Results_2024[[#This Row],[Max Votes Other Than BJP]]</f>
        <v>-220339</v>
      </c>
      <c r="S468" s="10">
        <f>Telengana_Results_2024[[#This Row],[BJP vote share]]-Telengana_Results_2024[[#This Row],[Max Vote share other than bjp ]]</f>
        <v>-0.17493247674000001</v>
      </c>
      <c r="T468">
        <v>1825492</v>
      </c>
      <c r="U468" s="8">
        <v>0.69530022590999996</v>
      </c>
      <c r="V468" s="1" t="s">
        <v>68</v>
      </c>
    </row>
    <row r="469" spans="1:22" x14ac:dyDescent="0.35">
      <c r="A469">
        <v>2024</v>
      </c>
      <c r="B469" s="1" t="s">
        <v>19</v>
      </c>
      <c r="C469" s="1" t="s">
        <v>701</v>
      </c>
      <c r="D469" s="1" t="s">
        <v>1320</v>
      </c>
      <c r="E469" s="1" t="s">
        <v>21</v>
      </c>
      <c r="F469" s="1" t="s">
        <v>48</v>
      </c>
      <c r="G469" s="1" t="s">
        <v>67</v>
      </c>
      <c r="H469" s="1" t="s">
        <v>53</v>
      </c>
      <c r="I469" s="1" t="s">
        <v>791</v>
      </c>
      <c r="J469">
        <v>1269265</v>
      </c>
      <c r="K469">
        <v>1259566</v>
      </c>
      <c r="L469">
        <v>909</v>
      </c>
      <c r="M469" s="9">
        <v>7.2167714910999995E-4</v>
      </c>
      <c r="N469">
        <v>581294</v>
      </c>
      <c r="O469" s="9">
        <v>0.46150340673000001</v>
      </c>
      <c r="P469">
        <v>360955</v>
      </c>
      <c r="Q469" s="9">
        <v>0.28657092999</v>
      </c>
      <c r="R469">
        <f>Telengana_Results_2024[[#This Row],[BJP votes]]-Telengana_Results_2024[[#This Row],[Max Votes Other Than BJP]]</f>
        <v>-220339</v>
      </c>
      <c r="S469" s="10">
        <f>Telengana_Results_2024[[#This Row],[BJP vote share]]-Telengana_Results_2024[[#This Row],[Max Vote share other than bjp ]]</f>
        <v>-0.17493247674000001</v>
      </c>
      <c r="T469">
        <v>1825492</v>
      </c>
      <c r="U469" s="8">
        <v>0.69530022590999996</v>
      </c>
      <c r="V469" s="1" t="s">
        <v>68</v>
      </c>
    </row>
    <row r="470" spans="1:22" x14ac:dyDescent="0.35">
      <c r="A470">
        <v>2024</v>
      </c>
      <c r="B470" s="1" t="s">
        <v>19</v>
      </c>
      <c r="C470" s="1" t="s">
        <v>701</v>
      </c>
      <c r="D470" s="1" t="s">
        <v>1321</v>
      </c>
      <c r="E470" s="1" t="s">
        <v>21</v>
      </c>
      <c r="F470" s="1" t="s">
        <v>125</v>
      </c>
      <c r="G470" s="1" t="s">
        <v>67</v>
      </c>
      <c r="H470" s="1" t="s">
        <v>53</v>
      </c>
      <c r="I470" s="1" t="s">
        <v>449</v>
      </c>
      <c r="J470">
        <v>1269265</v>
      </c>
      <c r="K470">
        <v>1259566</v>
      </c>
      <c r="L470">
        <v>906</v>
      </c>
      <c r="M470" s="9">
        <v>7.1929537633999997E-4</v>
      </c>
      <c r="N470">
        <v>581294</v>
      </c>
      <c r="O470" s="9">
        <v>0.46150340673000001</v>
      </c>
      <c r="P470">
        <v>360955</v>
      </c>
      <c r="Q470" s="9">
        <v>0.28657092999</v>
      </c>
      <c r="R470">
        <f>Telengana_Results_2024[[#This Row],[BJP votes]]-Telengana_Results_2024[[#This Row],[Max Votes Other Than BJP]]</f>
        <v>-220339</v>
      </c>
      <c r="S470" s="10">
        <f>Telengana_Results_2024[[#This Row],[BJP vote share]]-Telengana_Results_2024[[#This Row],[Max Vote share other than bjp ]]</f>
        <v>-0.17493247674000001</v>
      </c>
      <c r="T470">
        <v>1825492</v>
      </c>
      <c r="U470" s="8">
        <v>0.69530022590999996</v>
      </c>
      <c r="V470" s="1" t="s">
        <v>68</v>
      </c>
    </row>
    <row r="471" spans="1:22" x14ac:dyDescent="0.35">
      <c r="A471">
        <v>2024</v>
      </c>
      <c r="B471" s="1" t="s">
        <v>19</v>
      </c>
      <c r="C471" s="1" t="s">
        <v>701</v>
      </c>
      <c r="D471" s="1" t="s">
        <v>1322</v>
      </c>
      <c r="E471" s="1" t="s">
        <v>21</v>
      </c>
      <c r="F471" s="1" t="s">
        <v>176</v>
      </c>
      <c r="G471" s="1" t="s">
        <v>67</v>
      </c>
      <c r="H471" s="1" t="s">
        <v>53</v>
      </c>
      <c r="I471" s="1" t="s">
        <v>284</v>
      </c>
      <c r="J471">
        <v>1269265</v>
      </c>
      <c r="K471">
        <v>1259566</v>
      </c>
      <c r="L471">
        <v>847</v>
      </c>
      <c r="M471" s="9">
        <v>6.7245384521000002E-4</v>
      </c>
      <c r="N471">
        <v>581294</v>
      </c>
      <c r="O471" s="9">
        <v>0.46150340673000001</v>
      </c>
      <c r="P471">
        <v>360955</v>
      </c>
      <c r="Q471" s="9">
        <v>0.28657092999</v>
      </c>
      <c r="R471">
        <f>Telengana_Results_2024[[#This Row],[BJP votes]]-Telengana_Results_2024[[#This Row],[Max Votes Other Than BJP]]</f>
        <v>-220339</v>
      </c>
      <c r="S471" s="10">
        <f>Telengana_Results_2024[[#This Row],[BJP vote share]]-Telengana_Results_2024[[#This Row],[Max Vote share other than bjp ]]</f>
        <v>-0.17493247674000001</v>
      </c>
      <c r="T471">
        <v>1825492</v>
      </c>
      <c r="U471" s="8">
        <v>0.69530022590999996</v>
      </c>
      <c r="V471" s="1" t="s">
        <v>68</v>
      </c>
    </row>
    <row r="472" spans="1:22" x14ac:dyDescent="0.35">
      <c r="A472">
        <v>2024</v>
      </c>
      <c r="B472" s="1" t="s">
        <v>19</v>
      </c>
      <c r="C472" s="1" t="s">
        <v>701</v>
      </c>
      <c r="D472" s="1" t="s">
        <v>1323</v>
      </c>
      <c r="E472" s="1" t="s">
        <v>21</v>
      </c>
      <c r="F472" s="1" t="s">
        <v>52</v>
      </c>
      <c r="G472" s="1" t="s">
        <v>67</v>
      </c>
      <c r="H472" s="1" t="s">
        <v>53</v>
      </c>
      <c r="I472" s="1" t="s">
        <v>463</v>
      </c>
      <c r="J472">
        <v>1269265</v>
      </c>
      <c r="K472">
        <v>1259566</v>
      </c>
      <c r="L472">
        <v>826</v>
      </c>
      <c r="M472" s="9">
        <v>6.5578143583000005E-4</v>
      </c>
      <c r="N472">
        <v>581294</v>
      </c>
      <c r="O472" s="9">
        <v>0.46150340673000001</v>
      </c>
      <c r="P472">
        <v>360955</v>
      </c>
      <c r="Q472" s="9">
        <v>0.28657092999</v>
      </c>
      <c r="R472">
        <f>Telengana_Results_2024[[#This Row],[BJP votes]]-Telengana_Results_2024[[#This Row],[Max Votes Other Than BJP]]</f>
        <v>-220339</v>
      </c>
      <c r="S472" s="10">
        <f>Telengana_Results_2024[[#This Row],[BJP vote share]]-Telengana_Results_2024[[#This Row],[Max Vote share other than bjp ]]</f>
        <v>-0.17493247674000001</v>
      </c>
      <c r="T472">
        <v>1825492</v>
      </c>
      <c r="U472" s="8">
        <v>0.69530022590999996</v>
      </c>
      <c r="V472" s="1" t="s">
        <v>68</v>
      </c>
    </row>
    <row r="473" spans="1:22" x14ac:dyDescent="0.35">
      <c r="A473">
        <v>2024</v>
      </c>
      <c r="B473" s="1" t="s">
        <v>19</v>
      </c>
      <c r="C473" s="1" t="s">
        <v>701</v>
      </c>
      <c r="D473" s="1" t="s">
        <v>1324</v>
      </c>
      <c r="E473" s="1" t="s">
        <v>21</v>
      </c>
      <c r="F473" s="1" t="s">
        <v>165</v>
      </c>
      <c r="G473" s="1" t="s">
        <v>67</v>
      </c>
      <c r="H473" s="1" t="s">
        <v>53</v>
      </c>
      <c r="I473" s="1" t="s">
        <v>232</v>
      </c>
      <c r="J473">
        <v>1269265</v>
      </c>
      <c r="K473">
        <v>1259566</v>
      </c>
      <c r="L473">
        <v>819</v>
      </c>
      <c r="M473" s="9">
        <v>6.5022396603000004E-4</v>
      </c>
      <c r="N473">
        <v>581294</v>
      </c>
      <c r="O473" s="9">
        <v>0.46150340673000001</v>
      </c>
      <c r="P473">
        <v>360955</v>
      </c>
      <c r="Q473" s="9">
        <v>0.28657092999</v>
      </c>
      <c r="R473">
        <f>Telengana_Results_2024[[#This Row],[BJP votes]]-Telengana_Results_2024[[#This Row],[Max Votes Other Than BJP]]</f>
        <v>-220339</v>
      </c>
      <c r="S473" s="10">
        <f>Telengana_Results_2024[[#This Row],[BJP vote share]]-Telengana_Results_2024[[#This Row],[Max Vote share other than bjp ]]</f>
        <v>-0.17493247674000001</v>
      </c>
      <c r="T473">
        <v>1825492</v>
      </c>
      <c r="U473" s="8">
        <v>0.69530022590999996</v>
      </c>
      <c r="V473" s="1" t="s">
        <v>68</v>
      </c>
    </row>
    <row r="474" spans="1:22" x14ac:dyDescent="0.35">
      <c r="A474">
        <v>2024</v>
      </c>
      <c r="B474" s="1" t="s">
        <v>19</v>
      </c>
      <c r="C474" s="1" t="s">
        <v>701</v>
      </c>
      <c r="D474" s="1" t="s">
        <v>1325</v>
      </c>
      <c r="E474" s="1" t="s">
        <v>21</v>
      </c>
      <c r="F474" s="1" t="s">
        <v>176</v>
      </c>
      <c r="G474" s="1" t="s">
        <v>67</v>
      </c>
      <c r="H474" s="1" t="s">
        <v>53</v>
      </c>
      <c r="I474" s="1" t="s">
        <v>848</v>
      </c>
      <c r="J474">
        <v>1269265</v>
      </c>
      <c r="K474">
        <v>1259566</v>
      </c>
      <c r="L474">
        <v>752</v>
      </c>
      <c r="M474" s="9">
        <v>5.9703104084999996E-4</v>
      </c>
      <c r="N474">
        <v>581294</v>
      </c>
      <c r="O474" s="9">
        <v>0.46150340673000001</v>
      </c>
      <c r="P474">
        <v>360955</v>
      </c>
      <c r="Q474" s="9">
        <v>0.28657092999</v>
      </c>
      <c r="R474">
        <f>Telengana_Results_2024[[#This Row],[BJP votes]]-Telengana_Results_2024[[#This Row],[Max Votes Other Than BJP]]</f>
        <v>-220339</v>
      </c>
      <c r="S474" s="10">
        <f>Telengana_Results_2024[[#This Row],[BJP vote share]]-Telengana_Results_2024[[#This Row],[Max Vote share other than bjp ]]</f>
        <v>-0.17493247674000001</v>
      </c>
      <c r="T474">
        <v>1825492</v>
      </c>
      <c r="U474" s="8">
        <v>0.69530022590999996</v>
      </c>
      <c r="V474" s="1" t="s">
        <v>68</v>
      </c>
    </row>
    <row r="475" spans="1:22" x14ac:dyDescent="0.35">
      <c r="A475">
        <v>2024</v>
      </c>
      <c r="B475" s="1" t="s">
        <v>19</v>
      </c>
      <c r="C475" s="1" t="s">
        <v>701</v>
      </c>
      <c r="D475" s="1" t="s">
        <v>1326</v>
      </c>
      <c r="E475" s="1" t="s">
        <v>21</v>
      </c>
      <c r="F475" s="1" t="s">
        <v>48</v>
      </c>
      <c r="G475" s="1" t="s">
        <v>67</v>
      </c>
      <c r="H475" s="1" t="s">
        <v>53</v>
      </c>
      <c r="I475" s="1" t="s">
        <v>890</v>
      </c>
      <c r="J475">
        <v>1269265</v>
      </c>
      <c r="K475">
        <v>1259566</v>
      </c>
      <c r="L475">
        <v>713</v>
      </c>
      <c r="M475" s="9">
        <v>5.6606799484999997E-4</v>
      </c>
      <c r="N475">
        <v>581294</v>
      </c>
      <c r="O475" s="9">
        <v>0.46150340673000001</v>
      </c>
      <c r="P475">
        <v>360955</v>
      </c>
      <c r="Q475" s="9">
        <v>0.28657092999</v>
      </c>
      <c r="R475">
        <f>Telengana_Results_2024[[#This Row],[BJP votes]]-Telengana_Results_2024[[#This Row],[Max Votes Other Than BJP]]</f>
        <v>-220339</v>
      </c>
      <c r="S475" s="10">
        <f>Telengana_Results_2024[[#This Row],[BJP vote share]]-Telengana_Results_2024[[#This Row],[Max Vote share other than bjp ]]</f>
        <v>-0.17493247674000001</v>
      </c>
      <c r="T475">
        <v>1825492</v>
      </c>
      <c r="U475" s="8">
        <v>0.69530022590999996</v>
      </c>
      <c r="V475" s="1" t="s">
        <v>68</v>
      </c>
    </row>
    <row r="476" spans="1:22" x14ac:dyDescent="0.35">
      <c r="A476">
        <v>2024</v>
      </c>
      <c r="B476" s="1" t="s">
        <v>19</v>
      </c>
      <c r="C476" s="1" t="s">
        <v>701</v>
      </c>
      <c r="D476" s="1" t="s">
        <v>1327</v>
      </c>
      <c r="E476" s="1" t="s">
        <v>21</v>
      </c>
      <c r="F476" s="1" t="s">
        <v>95</v>
      </c>
      <c r="G476" s="1" t="s">
        <v>67</v>
      </c>
      <c r="H476" s="1" t="s">
        <v>53</v>
      </c>
      <c r="I476" s="1" t="s">
        <v>897</v>
      </c>
      <c r="J476">
        <v>1269265</v>
      </c>
      <c r="K476">
        <v>1259566</v>
      </c>
      <c r="L476">
        <v>662</v>
      </c>
      <c r="M476" s="9">
        <v>5.2557785777000005E-4</v>
      </c>
      <c r="N476">
        <v>581294</v>
      </c>
      <c r="O476" s="9">
        <v>0.46150340673000001</v>
      </c>
      <c r="P476">
        <v>360955</v>
      </c>
      <c r="Q476" s="9">
        <v>0.28657092999</v>
      </c>
      <c r="R476">
        <f>Telengana_Results_2024[[#This Row],[BJP votes]]-Telengana_Results_2024[[#This Row],[Max Votes Other Than BJP]]</f>
        <v>-220339</v>
      </c>
      <c r="S476" s="10">
        <f>Telengana_Results_2024[[#This Row],[BJP vote share]]-Telengana_Results_2024[[#This Row],[Max Vote share other than bjp ]]</f>
        <v>-0.17493247674000001</v>
      </c>
      <c r="T476">
        <v>1825492</v>
      </c>
      <c r="U476" s="8">
        <v>0.69530022590999996</v>
      </c>
      <c r="V476" s="1" t="s">
        <v>68</v>
      </c>
    </row>
    <row r="477" spans="1:22" x14ac:dyDescent="0.35">
      <c r="A477">
        <v>2024</v>
      </c>
      <c r="B477" s="1" t="s">
        <v>19</v>
      </c>
      <c r="C477" s="1" t="s">
        <v>701</v>
      </c>
      <c r="D477" s="1" t="s">
        <v>1328</v>
      </c>
      <c r="E477" s="1" t="s">
        <v>21</v>
      </c>
      <c r="F477" s="1" t="s">
        <v>379</v>
      </c>
      <c r="G477" s="1" t="s">
        <v>67</v>
      </c>
      <c r="H477" s="1" t="s">
        <v>1034</v>
      </c>
      <c r="I477" s="1" t="s">
        <v>167</v>
      </c>
      <c r="J477">
        <v>1269265</v>
      </c>
      <c r="K477">
        <v>1259566</v>
      </c>
      <c r="L477">
        <v>567</v>
      </c>
      <c r="M477" s="9">
        <v>4.5015505340999999E-4</v>
      </c>
      <c r="N477">
        <v>581294</v>
      </c>
      <c r="O477" s="9">
        <v>0.46150340673000001</v>
      </c>
      <c r="P477">
        <v>360955</v>
      </c>
      <c r="Q477" s="9">
        <v>0.28657092999</v>
      </c>
      <c r="R477">
        <f>Telengana_Results_2024[[#This Row],[BJP votes]]-Telengana_Results_2024[[#This Row],[Max Votes Other Than BJP]]</f>
        <v>-220339</v>
      </c>
      <c r="S477" s="10">
        <f>Telengana_Results_2024[[#This Row],[BJP vote share]]-Telengana_Results_2024[[#This Row],[Max Vote share other than bjp ]]</f>
        <v>-0.17493247674000001</v>
      </c>
      <c r="T477">
        <v>1825492</v>
      </c>
      <c r="U477" s="8">
        <v>0.69530022590999996</v>
      </c>
      <c r="V477" s="1" t="s">
        <v>68</v>
      </c>
    </row>
    <row r="478" spans="1:22" x14ac:dyDescent="0.35">
      <c r="A478">
        <v>2024</v>
      </c>
      <c r="B478" s="1" t="s">
        <v>19</v>
      </c>
      <c r="C478" s="1" t="s">
        <v>701</v>
      </c>
      <c r="D478" s="1" t="s">
        <v>1329</v>
      </c>
      <c r="E478" s="1" t="s">
        <v>21</v>
      </c>
      <c r="F478" s="1" t="s">
        <v>117</v>
      </c>
      <c r="G478" s="1" t="s">
        <v>67</v>
      </c>
      <c r="H478" s="1" t="s">
        <v>53</v>
      </c>
      <c r="I478" s="1" t="s">
        <v>457</v>
      </c>
      <c r="J478">
        <v>1269265</v>
      </c>
      <c r="K478">
        <v>1259566</v>
      </c>
      <c r="L478">
        <v>538</v>
      </c>
      <c r="M478" s="9">
        <v>4.2713124997000002E-4</v>
      </c>
      <c r="N478">
        <v>581294</v>
      </c>
      <c r="O478" s="9">
        <v>0.46150340673000001</v>
      </c>
      <c r="P478">
        <v>360955</v>
      </c>
      <c r="Q478" s="9">
        <v>0.28657092999</v>
      </c>
      <c r="R478">
        <f>Telengana_Results_2024[[#This Row],[BJP votes]]-Telengana_Results_2024[[#This Row],[Max Votes Other Than BJP]]</f>
        <v>-220339</v>
      </c>
      <c r="S478" s="10">
        <f>Telengana_Results_2024[[#This Row],[BJP vote share]]-Telengana_Results_2024[[#This Row],[Max Vote share other than bjp ]]</f>
        <v>-0.17493247674000001</v>
      </c>
      <c r="T478">
        <v>1825492</v>
      </c>
      <c r="U478" s="8">
        <v>0.69530022590999996</v>
      </c>
      <c r="V478" s="1" t="s">
        <v>68</v>
      </c>
    </row>
    <row r="479" spans="1:22" x14ac:dyDescent="0.35">
      <c r="A479">
        <v>2024</v>
      </c>
      <c r="B479" s="1" t="s">
        <v>19</v>
      </c>
      <c r="C479" s="1" t="s">
        <v>701</v>
      </c>
      <c r="D479" s="1" t="s">
        <v>1330</v>
      </c>
      <c r="E479" s="1" t="s">
        <v>21</v>
      </c>
      <c r="F479" s="1" t="s">
        <v>95</v>
      </c>
      <c r="G479" s="1" t="s">
        <v>67</v>
      </c>
      <c r="H479" s="1" t="s">
        <v>53</v>
      </c>
      <c r="I479" s="1" t="s">
        <v>174</v>
      </c>
      <c r="J479">
        <v>1269265</v>
      </c>
      <c r="K479">
        <v>1259566</v>
      </c>
      <c r="L479">
        <v>505</v>
      </c>
      <c r="M479" s="9">
        <v>4.0093174951E-4</v>
      </c>
      <c r="N479">
        <v>581294</v>
      </c>
      <c r="O479" s="9">
        <v>0.46150340673000001</v>
      </c>
      <c r="P479">
        <v>360955</v>
      </c>
      <c r="Q479" s="9">
        <v>0.28657092999</v>
      </c>
      <c r="R479">
        <f>Telengana_Results_2024[[#This Row],[BJP votes]]-Telengana_Results_2024[[#This Row],[Max Votes Other Than BJP]]</f>
        <v>-220339</v>
      </c>
      <c r="S479" s="10">
        <f>Telengana_Results_2024[[#This Row],[BJP vote share]]-Telengana_Results_2024[[#This Row],[Max Vote share other than bjp ]]</f>
        <v>-0.17493247674000001</v>
      </c>
      <c r="T479">
        <v>1825492</v>
      </c>
      <c r="U479" s="8">
        <v>0.69530022590999996</v>
      </c>
      <c r="V479" s="1" t="s">
        <v>68</v>
      </c>
    </row>
    <row r="480" spans="1:22" x14ac:dyDescent="0.35">
      <c r="A480">
        <v>2024</v>
      </c>
      <c r="B480" s="1" t="s">
        <v>19</v>
      </c>
      <c r="C480" s="1" t="s">
        <v>701</v>
      </c>
      <c r="D480" s="1" t="s">
        <v>1331</v>
      </c>
      <c r="E480" s="1" t="s">
        <v>21</v>
      </c>
      <c r="F480" s="1" t="s">
        <v>80</v>
      </c>
      <c r="G480" s="1" t="s">
        <v>67</v>
      </c>
      <c r="H480" s="1" t="s">
        <v>53</v>
      </c>
      <c r="I480" s="1" t="s">
        <v>427</v>
      </c>
      <c r="J480">
        <v>1269265</v>
      </c>
      <c r="K480">
        <v>1259566</v>
      </c>
      <c r="L480">
        <v>474</v>
      </c>
      <c r="M480" s="9">
        <v>3.7632009755999998E-4</v>
      </c>
      <c r="N480">
        <v>581294</v>
      </c>
      <c r="O480" s="9">
        <v>0.46150340673000001</v>
      </c>
      <c r="P480">
        <v>360955</v>
      </c>
      <c r="Q480" s="9">
        <v>0.28657092999</v>
      </c>
      <c r="R480">
        <f>Telengana_Results_2024[[#This Row],[BJP votes]]-Telengana_Results_2024[[#This Row],[Max Votes Other Than BJP]]</f>
        <v>-220339</v>
      </c>
      <c r="S480" s="10">
        <f>Telengana_Results_2024[[#This Row],[BJP vote share]]-Telengana_Results_2024[[#This Row],[Max Vote share other than bjp ]]</f>
        <v>-0.17493247674000001</v>
      </c>
      <c r="T480">
        <v>1825492</v>
      </c>
      <c r="U480" s="8">
        <v>0.69530022590999996</v>
      </c>
      <c r="V480" s="1" t="s">
        <v>68</v>
      </c>
    </row>
    <row r="481" spans="1:22" x14ac:dyDescent="0.35">
      <c r="A481">
        <v>2024</v>
      </c>
      <c r="B481" s="1" t="s">
        <v>19</v>
      </c>
      <c r="C481" s="1" t="s">
        <v>701</v>
      </c>
      <c r="D481" s="1" t="s">
        <v>716</v>
      </c>
      <c r="E481" s="1" t="s">
        <v>21</v>
      </c>
      <c r="F481" s="1" t="s">
        <v>176</v>
      </c>
      <c r="G481" s="1" t="s">
        <v>67</v>
      </c>
      <c r="H481" s="1" t="s">
        <v>53</v>
      </c>
      <c r="I481" s="1" t="s">
        <v>1332</v>
      </c>
      <c r="J481">
        <v>1269265</v>
      </c>
      <c r="K481">
        <v>1259566</v>
      </c>
      <c r="L481">
        <v>401</v>
      </c>
      <c r="M481" s="9">
        <v>3.1836362683999999E-4</v>
      </c>
      <c r="N481">
        <v>581294</v>
      </c>
      <c r="O481" s="9">
        <v>0.46150340673000001</v>
      </c>
      <c r="P481">
        <v>360955</v>
      </c>
      <c r="Q481" s="9">
        <v>0.28657092999</v>
      </c>
      <c r="R481">
        <f>Telengana_Results_2024[[#This Row],[BJP votes]]-Telengana_Results_2024[[#This Row],[Max Votes Other Than BJP]]</f>
        <v>-220339</v>
      </c>
      <c r="S481" s="10">
        <f>Telengana_Results_2024[[#This Row],[BJP vote share]]-Telengana_Results_2024[[#This Row],[Max Vote share other than bjp ]]</f>
        <v>-0.17493247674000001</v>
      </c>
      <c r="T481">
        <v>1825492</v>
      </c>
      <c r="U481" s="8">
        <v>0.69530022590999996</v>
      </c>
      <c r="V481" s="1" t="s">
        <v>68</v>
      </c>
    </row>
    <row r="482" spans="1:22" x14ac:dyDescent="0.35">
      <c r="A482">
        <v>2024</v>
      </c>
      <c r="B482" s="1" t="s">
        <v>19</v>
      </c>
      <c r="C482" s="1" t="s">
        <v>701</v>
      </c>
      <c r="D482" s="1" t="s">
        <v>1333</v>
      </c>
      <c r="E482" s="1" t="s">
        <v>21</v>
      </c>
      <c r="F482" s="1" t="s">
        <v>165</v>
      </c>
      <c r="G482" s="1" t="s">
        <v>67</v>
      </c>
      <c r="H482" s="1" t="s">
        <v>53</v>
      </c>
      <c r="I482" s="1" t="s">
        <v>194</v>
      </c>
      <c r="J482">
        <v>1269265</v>
      </c>
      <c r="K482">
        <v>1259566</v>
      </c>
      <c r="L482">
        <v>384</v>
      </c>
      <c r="M482" s="9">
        <v>3.0486691448000002E-4</v>
      </c>
      <c r="N482">
        <v>581294</v>
      </c>
      <c r="O482" s="9">
        <v>0.46150340673000001</v>
      </c>
      <c r="P482">
        <v>360955</v>
      </c>
      <c r="Q482" s="9">
        <v>0.28657092999</v>
      </c>
      <c r="R482">
        <f>Telengana_Results_2024[[#This Row],[BJP votes]]-Telengana_Results_2024[[#This Row],[Max Votes Other Than BJP]]</f>
        <v>-220339</v>
      </c>
      <c r="S482" s="10">
        <f>Telengana_Results_2024[[#This Row],[BJP vote share]]-Telengana_Results_2024[[#This Row],[Max Vote share other than bjp ]]</f>
        <v>-0.17493247674000001</v>
      </c>
      <c r="T482">
        <v>1825492</v>
      </c>
      <c r="U482" s="8">
        <v>0.69530022590999996</v>
      </c>
      <c r="V482" s="1" t="s">
        <v>68</v>
      </c>
    </row>
    <row r="483" spans="1:22" x14ac:dyDescent="0.35">
      <c r="A483">
        <v>2024</v>
      </c>
      <c r="B483" s="1" t="s">
        <v>19</v>
      </c>
      <c r="C483" s="1" t="s">
        <v>701</v>
      </c>
      <c r="D483" s="1" t="s">
        <v>1334</v>
      </c>
      <c r="E483" s="1" t="s">
        <v>35</v>
      </c>
      <c r="F483" s="1" t="s">
        <v>80</v>
      </c>
      <c r="G483" s="1" t="s">
        <v>67</v>
      </c>
      <c r="H483" s="1" t="s">
        <v>53</v>
      </c>
      <c r="I483" s="1" t="s">
        <v>841</v>
      </c>
      <c r="J483">
        <v>1269265</v>
      </c>
      <c r="K483">
        <v>1259566</v>
      </c>
      <c r="L483">
        <v>379</v>
      </c>
      <c r="M483" s="9">
        <v>3.0089729319E-4</v>
      </c>
      <c r="N483">
        <v>581294</v>
      </c>
      <c r="O483" s="9">
        <v>0.46150340673000001</v>
      </c>
      <c r="P483">
        <v>360955</v>
      </c>
      <c r="Q483" s="9">
        <v>0.28657092999</v>
      </c>
      <c r="R483">
        <f>Telengana_Results_2024[[#This Row],[BJP votes]]-Telengana_Results_2024[[#This Row],[Max Votes Other Than BJP]]</f>
        <v>-220339</v>
      </c>
      <c r="S483" s="10">
        <f>Telengana_Results_2024[[#This Row],[BJP vote share]]-Telengana_Results_2024[[#This Row],[Max Vote share other than bjp ]]</f>
        <v>-0.17493247674000001</v>
      </c>
      <c r="T483">
        <v>1825492</v>
      </c>
      <c r="U483" s="8">
        <v>0.69530022590999996</v>
      </c>
      <c r="V483" s="1" t="s">
        <v>68</v>
      </c>
    </row>
    <row r="484" spans="1:22" x14ac:dyDescent="0.35">
      <c r="A484">
        <v>2024</v>
      </c>
      <c r="B484" s="1" t="s">
        <v>19</v>
      </c>
      <c r="C484" s="1" t="s">
        <v>1335</v>
      </c>
      <c r="D484" s="1" t="s">
        <v>1336</v>
      </c>
      <c r="E484" s="1" t="s">
        <v>21</v>
      </c>
      <c r="F484" s="1" t="s">
        <v>66</v>
      </c>
      <c r="G484" s="1" t="s">
        <v>23</v>
      </c>
      <c r="H484" s="1" t="s">
        <v>29</v>
      </c>
      <c r="I484" s="1" t="s">
        <v>30</v>
      </c>
      <c r="J484">
        <v>1109534</v>
      </c>
      <c r="K484">
        <v>1102195</v>
      </c>
      <c r="L484">
        <v>612774</v>
      </c>
      <c r="M484" s="9">
        <v>0.55595788404000002</v>
      </c>
      <c r="N484">
        <v>612774</v>
      </c>
      <c r="O484" s="9">
        <v>0.55595788404000002</v>
      </c>
      <c r="P484">
        <v>110444</v>
      </c>
      <c r="Q484" s="9">
        <v>0.10020368447</v>
      </c>
      <c r="R484">
        <f>Telengana_Results_2024[[#This Row],[BJP votes]]-Telengana_Results_2024[[#This Row],[Max Votes Other Than BJP]]</f>
        <v>-502330</v>
      </c>
      <c r="S484" s="10">
        <f>Telengana_Results_2024[[#This Row],[BJP vote share]]-Telengana_Results_2024[[#This Row],[Max Vote share other than bjp ]]</f>
        <v>-0.45575419957000002</v>
      </c>
      <c r="T484">
        <v>1533858</v>
      </c>
      <c r="U484" s="8">
        <v>0.72336161495999995</v>
      </c>
      <c r="V484" s="1" t="s">
        <v>68</v>
      </c>
    </row>
    <row r="485" spans="1:22" x14ac:dyDescent="0.35">
      <c r="A485">
        <v>2024</v>
      </c>
      <c r="B485" s="1" t="s">
        <v>19</v>
      </c>
      <c r="C485" s="1" t="s">
        <v>1335</v>
      </c>
      <c r="D485" s="1" t="s">
        <v>1337</v>
      </c>
      <c r="E485" s="1" t="s">
        <v>35</v>
      </c>
      <c r="F485" s="1" t="s">
        <v>183</v>
      </c>
      <c r="G485" s="1" t="s">
        <v>23</v>
      </c>
      <c r="H485" s="1" t="s">
        <v>785</v>
      </c>
      <c r="I485" s="1" t="s">
        <v>25</v>
      </c>
      <c r="J485">
        <v>1109534</v>
      </c>
      <c r="K485">
        <v>1102195</v>
      </c>
      <c r="L485">
        <v>263609</v>
      </c>
      <c r="M485" s="9">
        <v>0.23916729798</v>
      </c>
      <c r="N485">
        <v>612774</v>
      </c>
      <c r="O485" s="9">
        <v>0.55595788404000002</v>
      </c>
      <c r="P485">
        <v>110444</v>
      </c>
      <c r="Q485" s="9">
        <v>0.10020368447</v>
      </c>
      <c r="R485">
        <f>Telengana_Results_2024[[#This Row],[BJP votes]]-Telengana_Results_2024[[#This Row],[Max Votes Other Than BJP]]</f>
        <v>-502330</v>
      </c>
      <c r="S485" s="10">
        <f>Telengana_Results_2024[[#This Row],[BJP vote share]]-Telengana_Results_2024[[#This Row],[Max Vote share other than bjp ]]</f>
        <v>-0.45575419957000002</v>
      </c>
      <c r="T485">
        <v>1533858</v>
      </c>
      <c r="U485" s="8">
        <v>0.72336161495999995</v>
      </c>
      <c r="V485" s="1" t="s">
        <v>68</v>
      </c>
    </row>
    <row r="486" spans="1:22" x14ac:dyDescent="0.35">
      <c r="A486">
        <v>2024</v>
      </c>
      <c r="B486" s="1" t="s">
        <v>19</v>
      </c>
      <c r="C486" s="1" t="s">
        <v>1335</v>
      </c>
      <c r="D486" s="1" t="s">
        <v>1338</v>
      </c>
      <c r="E486" s="1" t="s">
        <v>21</v>
      </c>
      <c r="F486" s="1" t="s">
        <v>642</v>
      </c>
      <c r="G486" s="1" t="s">
        <v>23</v>
      </c>
      <c r="H486" s="1" t="s">
        <v>32</v>
      </c>
      <c r="I486" s="1" t="s">
        <v>33</v>
      </c>
      <c r="J486">
        <v>1109534</v>
      </c>
      <c r="K486">
        <v>1102195</v>
      </c>
      <c r="L486">
        <v>110444</v>
      </c>
      <c r="M486" s="9">
        <v>0.10020368447</v>
      </c>
      <c r="N486">
        <v>612774</v>
      </c>
      <c r="O486" s="9">
        <v>0.55595788404000002</v>
      </c>
      <c r="P486">
        <v>110444</v>
      </c>
      <c r="Q486" s="9">
        <v>0.10020368447</v>
      </c>
      <c r="R486">
        <f>Telengana_Results_2024[[#This Row],[BJP votes]]-Telengana_Results_2024[[#This Row],[Max Votes Other Than BJP]]</f>
        <v>-502330</v>
      </c>
      <c r="S486" s="10">
        <f>Telengana_Results_2024[[#This Row],[BJP vote share]]-Telengana_Results_2024[[#This Row],[Max Vote share other than bjp ]]</f>
        <v>-0.45575419957000002</v>
      </c>
      <c r="T486">
        <v>1533858</v>
      </c>
      <c r="U486" s="8">
        <v>0.72336161495999995</v>
      </c>
      <c r="V486" s="1" t="s">
        <v>68</v>
      </c>
    </row>
    <row r="487" spans="1:22" x14ac:dyDescent="0.35">
      <c r="A487">
        <v>2024</v>
      </c>
      <c r="B487" s="1" t="s">
        <v>19</v>
      </c>
      <c r="C487" s="1" t="s">
        <v>1335</v>
      </c>
      <c r="D487" s="1" t="s">
        <v>1339</v>
      </c>
      <c r="E487" s="1" t="s">
        <v>21</v>
      </c>
      <c r="F487" s="1" t="s">
        <v>44</v>
      </c>
      <c r="G487" s="1" t="s">
        <v>23</v>
      </c>
      <c r="H487" s="1" t="s">
        <v>613</v>
      </c>
      <c r="I487" s="1" t="s">
        <v>614</v>
      </c>
      <c r="J487">
        <v>1109534</v>
      </c>
      <c r="K487">
        <v>1102195</v>
      </c>
      <c r="L487">
        <v>39136</v>
      </c>
      <c r="M487" s="9">
        <v>3.5507328557999998E-2</v>
      </c>
      <c r="N487">
        <v>612774</v>
      </c>
      <c r="O487" s="9">
        <v>0.55595788404000002</v>
      </c>
      <c r="P487">
        <v>110444</v>
      </c>
      <c r="Q487" s="9">
        <v>0.10020368447</v>
      </c>
      <c r="R487">
        <f>Telengana_Results_2024[[#This Row],[BJP votes]]-Telengana_Results_2024[[#This Row],[Max Votes Other Than BJP]]</f>
        <v>-502330</v>
      </c>
      <c r="S487" s="10">
        <f>Telengana_Results_2024[[#This Row],[BJP vote share]]-Telengana_Results_2024[[#This Row],[Max Vote share other than bjp ]]</f>
        <v>-0.45575419957000002</v>
      </c>
      <c r="T487">
        <v>1533858</v>
      </c>
      <c r="U487" s="8">
        <v>0.72336161495999995</v>
      </c>
      <c r="V487" s="1" t="s">
        <v>68</v>
      </c>
    </row>
    <row r="488" spans="1:22" x14ac:dyDescent="0.35">
      <c r="A488">
        <v>2024</v>
      </c>
      <c r="B488" s="1" t="s">
        <v>19</v>
      </c>
      <c r="C488" s="1" t="s">
        <v>1335</v>
      </c>
      <c r="D488" s="1" t="s">
        <v>1340</v>
      </c>
      <c r="E488" s="1" t="s">
        <v>21</v>
      </c>
      <c r="F488" s="1" t="s">
        <v>125</v>
      </c>
      <c r="G488" s="1" t="s">
        <v>23</v>
      </c>
      <c r="H488" s="1" t="s">
        <v>787</v>
      </c>
      <c r="I488" s="1" t="s">
        <v>788</v>
      </c>
      <c r="J488">
        <v>1109534</v>
      </c>
      <c r="K488">
        <v>1102195</v>
      </c>
      <c r="L488">
        <v>11893</v>
      </c>
      <c r="M488" s="9">
        <v>1.0790286655E-2</v>
      </c>
      <c r="N488">
        <v>612774</v>
      </c>
      <c r="O488" s="9">
        <v>0.55595788404000002</v>
      </c>
      <c r="P488">
        <v>110444</v>
      </c>
      <c r="Q488" s="9">
        <v>0.10020368447</v>
      </c>
      <c r="R488">
        <f>Telengana_Results_2024[[#This Row],[BJP votes]]-Telengana_Results_2024[[#This Row],[Max Votes Other Than BJP]]</f>
        <v>-502330</v>
      </c>
      <c r="S488" s="10">
        <f>Telengana_Results_2024[[#This Row],[BJP vote share]]-Telengana_Results_2024[[#This Row],[Max Vote share other than bjp ]]</f>
        <v>-0.45575419957000002</v>
      </c>
      <c r="T488">
        <v>1533858</v>
      </c>
      <c r="U488" s="8">
        <v>0.72336161495999995</v>
      </c>
      <c r="V488" s="1" t="s">
        <v>68</v>
      </c>
    </row>
    <row r="489" spans="1:22" x14ac:dyDescent="0.35">
      <c r="A489">
        <v>2024</v>
      </c>
      <c r="B489" s="1" t="s">
        <v>19</v>
      </c>
      <c r="C489" s="1" t="s">
        <v>1335</v>
      </c>
      <c r="D489" s="1" t="s">
        <v>1341</v>
      </c>
      <c r="E489" s="1" t="s">
        <v>35</v>
      </c>
      <c r="F489" s="1" t="s">
        <v>95</v>
      </c>
      <c r="G489" s="1" t="s">
        <v>23</v>
      </c>
      <c r="H489" s="1" t="s">
        <v>53</v>
      </c>
      <c r="I489" s="1" t="s">
        <v>820</v>
      </c>
      <c r="J489">
        <v>1109534</v>
      </c>
      <c r="K489">
        <v>1102195</v>
      </c>
      <c r="L489">
        <v>10119</v>
      </c>
      <c r="M489" s="9">
        <v>9.1807710976999999E-3</v>
      </c>
      <c r="N489">
        <v>612774</v>
      </c>
      <c r="O489" s="9">
        <v>0.55595788404000002</v>
      </c>
      <c r="P489">
        <v>110444</v>
      </c>
      <c r="Q489" s="9">
        <v>0.10020368447</v>
      </c>
      <c r="R489">
        <f>Telengana_Results_2024[[#This Row],[BJP votes]]-Telengana_Results_2024[[#This Row],[Max Votes Other Than BJP]]</f>
        <v>-502330</v>
      </c>
      <c r="S489" s="10">
        <f>Telengana_Results_2024[[#This Row],[BJP vote share]]-Telengana_Results_2024[[#This Row],[Max Vote share other than bjp ]]</f>
        <v>-0.45575419957000002</v>
      </c>
      <c r="T489">
        <v>1533858</v>
      </c>
      <c r="U489" s="8">
        <v>0.72336161495999995</v>
      </c>
      <c r="V489" s="1" t="s">
        <v>68</v>
      </c>
    </row>
    <row r="490" spans="1:22" x14ac:dyDescent="0.35">
      <c r="A490">
        <v>2024</v>
      </c>
      <c r="B490" s="1" t="s">
        <v>19</v>
      </c>
      <c r="C490" s="1" t="s">
        <v>1335</v>
      </c>
      <c r="D490" s="1" t="s">
        <v>1342</v>
      </c>
      <c r="E490" s="1" t="s">
        <v>35</v>
      </c>
      <c r="F490" s="1" t="s">
        <v>56</v>
      </c>
      <c r="G490" s="1" t="s">
        <v>23</v>
      </c>
      <c r="H490" s="1" t="s">
        <v>72</v>
      </c>
      <c r="I490" s="1" t="s">
        <v>73</v>
      </c>
      <c r="J490">
        <v>1109534</v>
      </c>
      <c r="K490">
        <v>1102195</v>
      </c>
      <c r="L490">
        <v>8093</v>
      </c>
      <c r="M490" s="9">
        <v>7.3426208610999997E-3</v>
      </c>
      <c r="N490">
        <v>612774</v>
      </c>
      <c r="O490" s="9">
        <v>0.55595788404000002</v>
      </c>
      <c r="P490">
        <v>110444</v>
      </c>
      <c r="Q490" s="9">
        <v>0.10020368447</v>
      </c>
      <c r="R490">
        <f>Telengana_Results_2024[[#This Row],[BJP votes]]-Telengana_Results_2024[[#This Row],[Max Votes Other Than BJP]]</f>
        <v>-502330</v>
      </c>
      <c r="S490" s="10">
        <f>Telengana_Results_2024[[#This Row],[BJP vote share]]-Telengana_Results_2024[[#This Row],[Max Vote share other than bjp ]]</f>
        <v>-0.45575419957000002</v>
      </c>
      <c r="T490">
        <v>1533858</v>
      </c>
      <c r="U490" s="8">
        <v>0.72336161495999995</v>
      </c>
      <c r="V490" s="1" t="s">
        <v>68</v>
      </c>
    </row>
    <row r="491" spans="1:22" x14ac:dyDescent="0.35">
      <c r="A491">
        <v>2024</v>
      </c>
      <c r="B491" s="1" t="s">
        <v>19</v>
      </c>
      <c r="C491" s="1" t="s">
        <v>1335</v>
      </c>
      <c r="D491" s="1" t="s">
        <v>64</v>
      </c>
      <c r="E491" s="1" t="s">
        <v>64</v>
      </c>
      <c r="F491" s="1" t="s">
        <v>64</v>
      </c>
      <c r="G491" s="1" t="s">
        <v>64</v>
      </c>
      <c r="H491" s="1" t="s">
        <v>64</v>
      </c>
      <c r="I491" s="1" t="s">
        <v>64</v>
      </c>
      <c r="J491">
        <v>1109534</v>
      </c>
      <c r="K491">
        <v>1102195</v>
      </c>
      <c r="L491">
        <v>6591</v>
      </c>
      <c r="M491" s="9">
        <v>5.9798855919000003E-3</v>
      </c>
      <c r="N491">
        <v>612774</v>
      </c>
      <c r="O491" s="9">
        <v>0.55595788404000002</v>
      </c>
      <c r="P491">
        <v>110444</v>
      </c>
      <c r="Q491" s="9">
        <v>0.10020368447</v>
      </c>
      <c r="R491">
        <f>Telengana_Results_2024[[#This Row],[BJP votes]]-Telengana_Results_2024[[#This Row],[Max Votes Other Than BJP]]</f>
        <v>-502330</v>
      </c>
      <c r="S491" s="10">
        <f>Telengana_Results_2024[[#This Row],[BJP vote share]]-Telengana_Results_2024[[#This Row],[Max Vote share other than bjp ]]</f>
        <v>-0.45575419957000002</v>
      </c>
      <c r="T491">
        <v>1533858</v>
      </c>
      <c r="U491" s="8">
        <v>0.72336161495999995</v>
      </c>
      <c r="V491" s="1" t="s">
        <v>68</v>
      </c>
    </row>
    <row r="492" spans="1:22" x14ac:dyDescent="0.35">
      <c r="A492">
        <v>2024</v>
      </c>
      <c r="B492" s="1" t="s">
        <v>19</v>
      </c>
      <c r="C492" s="1" t="s">
        <v>1335</v>
      </c>
      <c r="D492" s="1" t="s">
        <v>1343</v>
      </c>
      <c r="E492" s="1" t="s">
        <v>21</v>
      </c>
      <c r="F492" s="1" t="s">
        <v>36</v>
      </c>
      <c r="G492" s="1" t="s">
        <v>23</v>
      </c>
      <c r="H492" s="1" t="s">
        <v>53</v>
      </c>
      <c r="I492" s="1" t="s">
        <v>284</v>
      </c>
      <c r="J492">
        <v>1109534</v>
      </c>
      <c r="K492">
        <v>1102195</v>
      </c>
      <c r="L492">
        <v>6431</v>
      </c>
      <c r="M492" s="9">
        <v>5.8347207163999999E-3</v>
      </c>
      <c r="N492">
        <v>612774</v>
      </c>
      <c r="O492" s="9">
        <v>0.55595788404000002</v>
      </c>
      <c r="P492">
        <v>110444</v>
      </c>
      <c r="Q492" s="9">
        <v>0.10020368447</v>
      </c>
      <c r="R492">
        <f>Telengana_Results_2024[[#This Row],[BJP votes]]-Telengana_Results_2024[[#This Row],[Max Votes Other Than BJP]]</f>
        <v>-502330</v>
      </c>
      <c r="S492" s="10">
        <f>Telengana_Results_2024[[#This Row],[BJP vote share]]-Telengana_Results_2024[[#This Row],[Max Vote share other than bjp ]]</f>
        <v>-0.45575419957000002</v>
      </c>
      <c r="T492">
        <v>1533858</v>
      </c>
      <c r="U492" s="8">
        <v>0.72336161495999995</v>
      </c>
      <c r="V492" s="1" t="s">
        <v>68</v>
      </c>
    </row>
    <row r="493" spans="1:22" x14ac:dyDescent="0.35">
      <c r="A493">
        <v>2024</v>
      </c>
      <c r="B493" s="1" t="s">
        <v>19</v>
      </c>
      <c r="C493" s="1" t="s">
        <v>1335</v>
      </c>
      <c r="D493" s="1" t="s">
        <v>1344</v>
      </c>
      <c r="E493" s="1" t="s">
        <v>21</v>
      </c>
      <c r="F493" s="1" t="s">
        <v>1240</v>
      </c>
      <c r="G493" s="1" t="s">
        <v>23</v>
      </c>
      <c r="H493" s="1" t="s">
        <v>53</v>
      </c>
      <c r="I493" s="1" t="s">
        <v>427</v>
      </c>
      <c r="J493">
        <v>1109534</v>
      </c>
      <c r="K493">
        <v>1102195</v>
      </c>
      <c r="L493">
        <v>5100</v>
      </c>
      <c r="M493" s="9">
        <v>4.6271304080000002E-3</v>
      </c>
      <c r="N493">
        <v>612774</v>
      </c>
      <c r="O493" s="9">
        <v>0.55595788404000002</v>
      </c>
      <c r="P493">
        <v>110444</v>
      </c>
      <c r="Q493" s="9">
        <v>0.10020368447</v>
      </c>
      <c r="R493">
        <f>Telengana_Results_2024[[#This Row],[BJP votes]]-Telengana_Results_2024[[#This Row],[Max Votes Other Than BJP]]</f>
        <v>-502330</v>
      </c>
      <c r="S493" s="10">
        <f>Telengana_Results_2024[[#This Row],[BJP vote share]]-Telengana_Results_2024[[#This Row],[Max Vote share other than bjp ]]</f>
        <v>-0.45575419957000002</v>
      </c>
      <c r="T493">
        <v>1533858</v>
      </c>
      <c r="U493" s="8">
        <v>0.72336161495999995</v>
      </c>
      <c r="V493" s="1" t="s">
        <v>68</v>
      </c>
    </row>
    <row r="494" spans="1:22" x14ac:dyDescent="0.35">
      <c r="A494">
        <v>2024</v>
      </c>
      <c r="B494" s="1" t="s">
        <v>19</v>
      </c>
      <c r="C494" s="1" t="s">
        <v>1335</v>
      </c>
      <c r="D494" s="1" t="s">
        <v>1345</v>
      </c>
      <c r="E494" s="1" t="s">
        <v>21</v>
      </c>
      <c r="F494" s="1" t="s">
        <v>91</v>
      </c>
      <c r="G494" s="1" t="s">
        <v>23</v>
      </c>
      <c r="H494" s="1" t="s">
        <v>53</v>
      </c>
      <c r="I494" s="1" t="s">
        <v>60</v>
      </c>
      <c r="J494">
        <v>1109534</v>
      </c>
      <c r="K494">
        <v>1102195</v>
      </c>
      <c r="L494">
        <v>4062</v>
      </c>
      <c r="M494" s="9">
        <v>3.6853732778999999E-3</v>
      </c>
      <c r="N494">
        <v>612774</v>
      </c>
      <c r="O494" s="9">
        <v>0.55595788404000002</v>
      </c>
      <c r="P494">
        <v>110444</v>
      </c>
      <c r="Q494" s="9">
        <v>0.10020368447</v>
      </c>
      <c r="R494">
        <f>Telengana_Results_2024[[#This Row],[BJP votes]]-Telengana_Results_2024[[#This Row],[Max Votes Other Than BJP]]</f>
        <v>-502330</v>
      </c>
      <c r="S494" s="10">
        <f>Telengana_Results_2024[[#This Row],[BJP vote share]]-Telengana_Results_2024[[#This Row],[Max Vote share other than bjp ]]</f>
        <v>-0.45575419957000002</v>
      </c>
      <c r="T494">
        <v>1533858</v>
      </c>
      <c r="U494" s="8">
        <v>0.72336161495999995</v>
      </c>
      <c r="V494" s="1" t="s">
        <v>68</v>
      </c>
    </row>
    <row r="495" spans="1:22" x14ac:dyDescent="0.35">
      <c r="A495">
        <v>2024</v>
      </c>
      <c r="B495" s="1" t="s">
        <v>19</v>
      </c>
      <c r="C495" s="1" t="s">
        <v>1335</v>
      </c>
      <c r="D495" s="1" t="s">
        <v>1346</v>
      </c>
      <c r="E495" s="1" t="s">
        <v>21</v>
      </c>
      <c r="F495" s="1" t="s">
        <v>71</v>
      </c>
      <c r="G495" s="1" t="s">
        <v>23</v>
      </c>
      <c r="H495" s="1" t="s">
        <v>1347</v>
      </c>
      <c r="I495" s="1" t="s">
        <v>421</v>
      </c>
      <c r="J495">
        <v>1109534</v>
      </c>
      <c r="K495">
        <v>1102195</v>
      </c>
      <c r="L495">
        <v>3755</v>
      </c>
      <c r="M495" s="9">
        <v>3.4068381729E-3</v>
      </c>
      <c r="N495">
        <v>612774</v>
      </c>
      <c r="O495" s="9">
        <v>0.55595788404000002</v>
      </c>
      <c r="P495">
        <v>110444</v>
      </c>
      <c r="Q495" s="9">
        <v>0.10020368447</v>
      </c>
      <c r="R495">
        <f>Telengana_Results_2024[[#This Row],[BJP votes]]-Telengana_Results_2024[[#This Row],[Max Votes Other Than BJP]]</f>
        <v>-502330</v>
      </c>
      <c r="S495" s="10">
        <f>Telengana_Results_2024[[#This Row],[BJP vote share]]-Telengana_Results_2024[[#This Row],[Max Vote share other than bjp ]]</f>
        <v>-0.45575419957000002</v>
      </c>
      <c r="T495">
        <v>1533858</v>
      </c>
      <c r="U495" s="8">
        <v>0.72336161495999995</v>
      </c>
      <c r="V495" s="1" t="s">
        <v>68</v>
      </c>
    </row>
    <row r="496" spans="1:22" x14ac:dyDescent="0.35">
      <c r="A496">
        <v>2024</v>
      </c>
      <c r="B496" s="1" t="s">
        <v>19</v>
      </c>
      <c r="C496" s="1" t="s">
        <v>1335</v>
      </c>
      <c r="D496" s="1" t="s">
        <v>1348</v>
      </c>
      <c r="E496" s="1" t="s">
        <v>21</v>
      </c>
      <c r="F496" s="1" t="s">
        <v>125</v>
      </c>
      <c r="G496" s="1" t="s">
        <v>23</v>
      </c>
      <c r="H496" s="1" t="s">
        <v>53</v>
      </c>
      <c r="I496" s="1" t="s">
        <v>190</v>
      </c>
      <c r="J496">
        <v>1109534</v>
      </c>
      <c r="K496">
        <v>1102195</v>
      </c>
      <c r="L496">
        <v>3712</v>
      </c>
      <c r="M496" s="9">
        <v>3.3678251126000001E-3</v>
      </c>
      <c r="N496">
        <v>612774</v>
      </c>
      <c r="O496" s="9">
        <v>0.55595788404000002</v>
      </c>
      <c r="P496">
        <v>110444</v>
      </c>
      <c r="Q496" s="9">
        <v>0.10020368447</v>
      </c>
      <c r="R496">
        <f>Telengana_Results_2024[[#This Row],[BJP votes]]-Telengana_Results_2024[[#This Row],[Max Votes Other Than BJP]]</f>
        <v>-502330</v>
      </c>
      <c r="S496" s="10">
        <f>Telengana_Results_2024[[#This Row],[BJP vote share]]-Telengana_Results_2024[[#This Row],[Max Vote share other than bjp ]]</f>
        <v>-0.45575419957000002</v>
      </c>
      <c r="T496">
        <v>1533858</v>
      </c>
      <c r="U496" s="8">
        <v>0.72336161495999995</v>
      </c>
      <c r="V496" s="1" t="s">
        <v>68</v>
      </c>
    </row>
    <row r="497" spans="1:22" x14ac:dyDescent="0.35">
      <c r="A497">
        <v>2024</v>
      </c>
      <c r="B497" s="1" t="s">
        <v>19</v>
      </c>
      <c r="C497" s="1" t="s">
        <v>1335</v>
      </c>
      <c r="D497" s="1" t="s">
        <v>1349</v>
      </c>
      <c r="E497" s="1" t="s">
        <v>21</v>
      </c>
      <c r="F497" s="1" t="s">
        <v>80</v>
      </c>
      <c r="G497" s="1" t="s">
        <v>23</v>
      </c>
      <c r="H497" s="1" t="s">
        <v>53</v>
      </c>
      <c r="I497" s="1" t="s">
        <v>892</v>
      </c>
      <c r="J497">
        <v>1109534</v>
      </c>
      <c r="K497">
        <v>1102195</v>
      </c>
      <c r="L497">
        <v>3196</v>
      </c>
      <c r="M497" s="9">
        <v>2.899668389E-3</v>
      </c>
      <c r="N497">
        <v>612774</v>
      </c>
      <c r="O497" s="9">
        <v>0.55595788404000002</v>
      </c>
      <c r="P497">
        <v>110444</v>
      </c>
      <c r="Q497" s="9">
        <v>0.10020368447</v>
      </c>
      <c r="R497">
        <f>Telengana_Results_2024[[#This Row],[BJP votes]]-Telengana_Results_2024[[#This Row],[Max Votes Other Than BJP]]</f>
        <v>-502330</v>
      </c>
      <c r="S497" s="10">
        <f>Telengana_Results_2024[[#This Row],[BJP vote share]]-Telengana_Results_2024[[#This Row],[Max Vote share other than bjp ]]</f>
        <v>-0.45575419957000002</v>
      </c>
      <c r="T497">
        <v>1533858</v>
      </c>
      <c r="U497" s="8">
        <v>0.72336161495999995</v>
      </c>
      <c r="V497" s="1" t="s">
        <v>68</v>
      </c>
    </row>
    <row r="498" spans="1:22" x14ac:dyDescent="0.35">
      <c r="A498">
        <v>2024</v>
      </c>
      <c r="B498" s="1" t="s">
        <v>19</v>
      </c>
      <c r="C498" s="1" t="s">
        <v>1335</v>
      </c>
      <c r="D498" s="1" t="s">
        <v>1350</v>
      </c>
      <c r="E498" s="1" t="s">
        <v>21</v>
      </c>
      <c r="F498" s="1" t="s">
        <v>1351</v>
      </c>
      <c r="G498" s="1" t="s">
        <v>23</v>
      </c>
      <c r="H498" s="1" t="s">
        <v>53</v>
      </c>
      <c r="I498" s="1" t="s">
        <v>841</v>
      </c>
      <c r="J498">
        <v>1109534</v>
      </c>
      <c r="K498">
        <v>1102195</v>
      </c>
      <c r="L498">
        <v>2887</v>
      </c>
      <c r="M498" s="9">
        <v>2.6193187230999998E-3</v>
      </c>
      <c r="N498">
        <v>612774</v>
      </c>
      <c r="O498" s="9">
        <v>0.55595788404000002</v>
      </c>
      <c r="P498">
        <v>110444</v>
      </c>
      <c r="Q498" s="9">
        <v>0.10020368447</v>
      </c>
      <c r="R498">
        <f>Telengana_Results_2024[[#This Row],[BJP votes]]-Telengana_Results_2024[[#This Row],[Max Votes Other Than BJP]]</f>
        <v>-502330</v>
      </c>
      <c r="S498" s="10">
        <f>Telengana_Results_2024[[#This Row],[BJP vote share]]-Telengana_Results_2024[[#This Row],[Max Vote share other than bjp ]]</f>
        <v>-0.45575419957000002</v>
      </c>
      <c r="T498">
        <v>1533858</v>
      </c>
      <c r="U498" s="8">
        <v>0.72336161495999995</v>
      </c>
      <c r="V498" s="1" t="s">
        <v>68</v>
      </c>
    </row>
    <row r="499" spans="1:22" x14ac:dyDescent="0.35">
      <c r="A499">
        <v>2024</v>
      </c>
      <c r="B499" s="1" t="s">
        <v>19</v>
      </c>
      <c r="C499" s="1" t="s">
        <v>1335</v>
      </c>
      <c r="D499" s="1" t="s">
        <v>1352</v>
      </c>
      <c r="E499" s="1" t="s">
        <v>21</v>
      </c>
      <c r="F499" s="1" t="s">
        <v>44</v>
      </c>
      <c r="G499" s="1" t="s">
        <v>23</v>
      </c>
      <c r="H499" s="1" t="s">
        <v>53</v>
      </c>
      <c r="I499" s="1" t="s">
        <v>457</v>
      </c>
      <c r="J499">
        <v>1109534</v>
      </c>
      <c r="K499">
        <v>1102195</v>
      </c>
      <c r="L499">
        <v>2781</v>
      </c>
      <c r="M499" s="9">
        <v>2.5231469929999999E-3</v>
      </c>
      <c r="N499">
        <v>612774</v>
      </c>
      <c r="O499" s="9">
        <v>0.55595788404000002</v>
      </c>
      <c r="P499">
        <v>110444</v>
      </c>
      <c r="Q499" s="9">
        <v>0.10020368447</v>
      </c>
      <c r="R499">
        <f>Telengana_Results_2024[[#This Row],[BJP votes]]-Telengana_Results_2024[[#This Row],[Max Votes Other Than BJP]]</f>
        <v>-502330</v>
      </c>
      <c r="S499" s="10">
        <f>Telengana_Results_2024[[#This Row],[BJP vote share]]-Telengana_Results_2024[[#This Row],[Max Vote share other than bjp ]]</f>
        <v>-0.45575419957000002</v>
      </c>
      <c r="T499">
        <v>1533858</v>
      </c>
      <c r="U499" s="8">
        <v>0.72336161495999995</v>
      </c>
      <c r="V499" s="1" t="s">
        <v>68</v>
      </c>
    </row>
    <row r="500" spans="1:22" x14ac:dyDescent="0.35">
      <c r="A500">
        <v>2024</v>
      </c>
      <c r="B500" s="1" t="s">
        <v>19</v>
      </c>
      <c r="C500" s="1" t="s">
        <v>1335</v>
      </c>
      <c r="D500" s="1" t="s">
        <v>1353</v>
      </c>
      <c r="E500" s="1" t="s">
        <v>21</v>
      </c>
      <c r="F500" s="1" t="s">
        <v>135</v>
      </c>
      <c r="G500" s="1" t="s">
        <v>23</v>
      </c>
      <c r="H500" s="1" t="s">
        <v>53</v>
      </c>
      <c r="I500" s="1" t="s">
        <v>54</v>
      </c>
      <c r="J500">
        <v>1109534</v>
      </c>
      <c r="K500">
        <v>1102195</v>
      </c>
      <c r="L500">
        <v>2542</v>
      </c>
      <c r="M500" s="9">
        <v>2.3063069602E-3</v>
      </c>
      <c r="N500">
        <v>612774</v>
      </c>
      <c r="O500" s="9">
        <v>0.55595788404000002</v>
      </c>
      <c r="P500">
        <v>110444</v>
      </c>
      <c r="Q500" s="9">
        <v>0.10020368447</v>
      </c>
      <c r="R500">
        <f>Telengana_Results_2024[[#This Row],[BJP votes]]-Telengana_Results_2024[[#This Row],[Max Votes Other Than BJP]]</f>
        <v>-502330</v>
      </c>
      <c r="S500" s="10">
        <f>Telengana_Results_2024[[#This Row],[BJP vote share]]-Telengana_Results_2024[[#This Row],[Max Vote share other than bjp ]]</f>
        <v>-0.45575419957000002</v>
      </c>
      <c r="T500">
        <v>1533858</v>
      </c>
      <c r="U500" s="8">
        <v>0.72336161495999995</v>
      </c>
      <c r="V500" s="1" t="s">
        <v>68</v>
      </c>
    </row>
    <row r="501" spans="1:22" x14ac:dyDescent="0.35">
      <c r="A501">
        <v>2024</v>
      </c>
      <c r="B501" s="1" t="s">
        <v>19</v>
      </c>
      <c r="C501" s="1" t="s">
        <v>1335</v>
      </c>
      <c r="D501" s="1" t="s">
        <v>1354</v>
      </c>
      <c r="E501" s="1" t="s">
        <v>35</v>
      </c>
      <c r="F501" s="1" t="s">
        <v>36</v>
      </c>
      <c r="G501" s="1" t="s">
        <v>23</v>
      </c>
      <c r="H501" s="1" t="s">
        <v>798</v>
      </c>
      <c r="I501" s="1" t="s">
        <v>749</v>
      </c>
      <c r="J501">
        <v>1109534</v>
      </c>
      <c r="K501">
        <v>1102195</v>
      </c>
      <c r="L501">
        <v>2244</v>
      </c>
      <c r="M501" s="9">
        <v>2.0359373794999998E-3</v>
      </c>
      <c r="N501">
        <v>612774</v>
      </c>
      <c r="O501" s="9">
        <v>0.55595788404000002</v>
      </c>
      <c r="P501">
        <v>110444</v>
      </c>
      <c r="Q501" s="9">
        <v>0.10020368447</v>
      </c>
      <c r="R501">
        <f>Telengana_Results_2024[[#This Row],[BJP votes]]-Telengana_Results_2024[[#This Row],[Max Votes Other Than BJP]]</f>
        <v>-502330</v>
      </c>
      <c r="S501" s="10">
        <f>Telengana_Results_2024[[#This Row],[BJP vote share]]-Telengana_Results_2024[[#This Row],[Max Vote share other than bjp ]]</f>
        <v>-0.45575419957000002</v>
      </c>
      <c r="T501">
        <v>1533858</v>
      </c>
      <c r="U501" s="8">
        <v>0.72336161495999995</v>
      </c>
      <c r="V501" s="1" t="s">
        <v>68</v>
      </c>
    </row>
    <row r="502" spans="1:22" x14ac:dyDescent="0.35">
      <c r="A502">
        <v>2024</v>
      </c>
      <c r="B502" s="1" t="s">
        <v>19</v>
      </c>
      <c r="C502" s="1" t="s">
        <v>1335</v>
      </c>
      <c r="D502" s="1" t="s">
        <v>1355</v>
      </c>
      <c r="E502" s="1" t="s">
        <v>21</v>
      </c>
      <c r="F502" s="1" t="s">
        <v>36</v>
      </c>
      <c r="G502" s="1" t="s">
        <v>23</v>
      </c>
      <c r="H502" s="1" t="s">
        <v>802</v>
      </c>
      <c r="I502" s="1" t="s">
        <v>803</v>
      </c>
      <c r="J502">
        <v>1109534</v>
      </c>
      <c r="K502">
        <v>1102195</v>
      </c>
      <c r="L502">
        <v>2172</v>
      </c>
      <c r="M502" s="9">
        <v>1.9706131854999999E-3</v>
      </c>
      <c r="N502">
        <v>612774</v>
      </c>
      <c r="O502" s="9">
        <v>0.55595788404000002</v>
      </c>
      <c r="P502">
        <v>110444</v>
      </c>
      <c r="Q502" s="9">
        <v>0.10020368447</v>
      </c>
      <c r="R502">
        <f>Telengana_Results_2024[[#This Row],[BJP votes]]-Telengana_Results_2024[[#This Row],[Max Votes Other Than BJP]]</f>
        <v>-502330</v>
      </c>
      <c r="S502" s="10">
        <f>Telengana_Results_2024[[#This Row],[BJP vote share]]-Telengana_Results_2024[[#This Row],[Max Vote share other than bjp ]]</f>
        <v>-0.45575419957000002</v>
      </c>
      <c r="T502">
        <v>1533858</v>
      </c>
      <c r="U502" s="8">
        <v>0.72336161495999995</v>
      </c>
      <c r="V502" s="1" t="s">
        <v>68</v>
      </c>
    </row>
    <row r="503" spans="1:22" x14ac:dyDescent="0.35">
      <c r="A503">
        <v>2024</v>
      </c>
      <c r="B503" s="1" t="s">
        <v>19</v>
      </c>
      <c r="C503" s="1" t="s">
        <v>1335</v>
      </c>
      <c r="D503" s="1" t="s">
        <v>1356</v>
      </c>
      <c r="E503" s="1" t="s">
        <v>21</v>
      </c>
      <c r="F503" s="1" t="s">
        <v>120</v>
      </c>
      <c r="G503" s="1" t="s">
        <v>23</v>
      </c>
      <c r="H503" s="1" t="s">
        <v>53</v>
      </c>
      <c r="I503" s="1" t="s">
        <v>791</v>
      </c>
      <c r="J503">
        <v>1109534</v>
      </c>
      <c r="K503">
        <v>1102195</v>
      </c>
      <c r="L503">
        <v>1715</v>
      </c>
      <c r="M503" s="9">
        <v>1.5559860097E-3</v>
      </c>
      <c r="N503">
        <v>612774</v>
      </c>
      <c r="O503" s="9">
        <v>0.55595788404000002</v>
      </c>
      <c r="P503">
        <v>110444</v>
      </c>
      <c r="Q503" s="9">
        <v>0.10020368447</v>
      </c>
      <c r="R503">
        <f>Telengana_Results_2024[[#This Row],[BJP votes]]-Telengana_Results_2024[[#This Row],[Max Votes Other Than BJP]]</f>
        <v>-502330</v>
      </c>
      <c r="S503" s="10">
        <f>Telengana_Results_2024[[#This Row],[BJP vote share]]-Telengana_Results_2024[[#This Row],[Max Vote share other than bjp ]]</f>
        <v>-0.45575419957000002</v>
      </c>
      <c r="T503">
        <v>1533858</v>
      </c>
      <c r="U503" s="8">
        <v>0.72336161495999995</v>
      </c>
      <c r="V503" s="1" t="s">
        <v>68</v>
      </c>
    </row>
    <row r="504" spans="1:22" x14ac:dyDescent="0.35">
      <c r="A504">
        <v>2024</v>
      </c>
      <c r="B504" s="1" t="s">
        <v>19</v>
      </c>
      <c r="C504" s="1" t="s">
        <v>1335</v>
      </c>
      <c r="D504" s="1" t="s">
        <v>1357</v>
      </c>
      <c r="E504" s="1" t="s">
        <v>21</v>
      </c>
      <c r="F504" s="1" t="s">
        <v>56</v>
      </c>
      <c r="G504" s="1" t="s">
        <v>23</v>
      </c>
      <c r="H504" s="1" t="s">
        <v>53</v>
      </c>
      <c r="I504" s="1" t="s">
        <v>232</v>
      </c>
      <c r="J504">
        <v>1109534</v>
      </c>
      <c r="K504">
        <v>1102195</v>
      </c>
      <c r="L504">
        <v>1590</v>
      </c>
      <c r="M504" s="9">
        <v>1.4425759507E-3</v>
      </c>
      <c r="N504">
        <v>612774</v>
      </c>
      <c r="O504" s="9">
        <v>0.55595788404000002</v>
      </c>
      <c r="P504">
        <v>110444</v>
      </c>
      <c r="Q504" s="9">
        <v>0.10020368447</v>
      </c>
      <c r="R504">
        <f>Telengana_Results_2024[[#This Row],[BJP votes]]-Telengana_Results_2024[[#This Row],[Max Votes Other Than BJP]]</f>
        <v>-502330</v>
      </c>
      <c r="S504" s="10">
        <f>Telengana_Results_2024[[#This Row],[BJP vote share]]-Telengana_Results_2024[[#This Row],[Max Vote share other than bjp ]]</f>
        <v>-0.45575419957000002</v>
      </c>
      <c r="T504">
        <v>1533858</v>
      </c>
      <c r="U504" s="8">
        <v>0.72336161495999995</v>
      </c>
      <c r="V504" s="1" t="s">
        <v>68</v>
      </c>
    </row>
    <row r="505" spans="1:22" x14ac:dyDescent="0.35">
      <c r="A505">
        <v>2024</v>
      </c>
      <c r="B505" s="1" t="s">
        <v>19</v>
      </c>
      <c r="C505" s="1" t="s">
        <v>1335</v>
      </c>
      <c r="D505" s="1" t="s">
        <v>1358</v>
      </c>
      <c r="E505" s="1" t="s">
        <v>35</v>
      </c>
      <c r="F505" s="1" t="s">
        <v>135</v>
      </c>
      <c r="G505" s="1" t="s">
        <v>23</v>
      </c>
      <c r="H505" s="1" t="s">
        <v>860</v>
      </c>
      <c r="I505" s="1" t="s">
        <v>897</v>
      </c>
      <c r="J505">
        <v>1109534</v>
      </c>
      <c r="K505">
        <v>1102195</v>
      </c>
      <c r="L505">
        <v>1448</v>
      </c>
      <c r="M505" s="9">
        <v>1.3137421237E-3</v>
      </c>
      <c r="N505">
        <v>612774</v>
      </c>
      <c r="O505" s="9">
        <v>0.55595788404000002</v>
      </c>
      <c r="P505">
        <v>110444</v>
      </c>
      <c r="Q505" s="9">
        <v>0.10020368447</v>
      </c>
      <c r="R505">
        <f>Telengana_Results_2024[[#This Row],[BJP votes]]-Telengana_Results_2024[[#This Row],[Max Votes Other Than BJP]]</f>
        <v>-502330</v>
      </c>
      <c r="S505" s="10">
        <f>Telengana_Results_2024[[#This Row],[BJP vote share]]-Telengana_Results_2024[[#This Row],[Max Vote share other than bjp ]]</f>
        <v>-0.45575419957000002</v>
      </c>
      <c r="T505">
        <v>1533858</v>
      </c>
      <c r="U505" s="8">
        <v>0.72336161495999995</v>
      </c>
      <c r="V505" s="1" t="s">
        <v>68</v>
      </c>
    </row>
    <row r="506" spans="1:22" x14ac:dyDescent="0.35">
      <c r="A506">
        <v>2024</v>
      </c>
      <c r="B506" s="1" t="s">
        <v>19</v>
      </c>
      <c r="C506" s="1" t="s">
        <v>1335</v>
      </c>
      <c r="D506" s="1" t="s">
        <v>1359</v>
      </c>
      <c r="E506" s="1" t="s">
        <v>21</v>
      </c>
      <c r="F506" s="1" t="s">
        <v>36</v>
      </c>
      <c r="G506" s="1" t="s">
        <v>23</v>
      </c>
      <c r="H506" s="1" t="s">
        <v>1166</v>
      </c>
      <c r="I506" s="1" t="s">
        <v>341</v>
      </c>
      <c r="J506">
        <v>1109534</v>
      </c>
      <c r="K506">
        <v>1102195</v>
      </c>
      <c r="L506">
        <v>1367</v>
      </c>
      <c r="M506" s="9">
        <v>1.2402524054000001E-3</v>
      </c>
      <c r="N506">
        <v>612774</v>
      </c>
      <c r="O506" s="9">
        <v>0.55595788404000002</v>
      </c>
      <c r="P506">
        <v>110444</v>
      </c>
      <c r="Q506" s="9">
        <v>0.10020368447</v>
      </c>
      <c r="R506">
        <f>Telengana_Results_2024[[#This Row],[BJP votes]]-Telengana_Results_2024[[#This Row],[Max Votes Other Than BJP]]</f>
        <v>-502330</v>
      </c>
      <c r="S506" s="10">
        <f>Telengana_Results_2024[[#This Row],[BJP vote share]]-Telengana_Results_2024[[#This Row],[Max Vote share other than bjp ]]</f>
        <v>-0.45575419957000002</v>
      </c>
      <c r="T506">
        <v>1533858</v>
      </c>
      <c r="U506" s="8">
        <v>0.72336161495999995</v>
      </c>
      <c r="V506" s="1" t="s">
        <v>68</v>
      </c>
    </row>
    <row r="507" spans="1:22" x14ac:dyDescent="0.35">
      <c r="A507">
        <v>2024</v>
      </c>
      <c r="B507" s="1" t="s">
        <v>19</v>
      </c>
      <c r="C507" s="1" t="s">
        <v>1335</v>
      </c>
      <c r="D507" s="1" t="s">
        <v>1360</v>
      </c>
      <c r="E507" s="1" t="s">
        <v>21</v>
      </c>
      <c r="F507" s="1" t="s">
        <v>155</v>
      </c>
      <c r="G507" s="1" t="s">
        <v>23</v>
      </c>
      <c r="H507" s="1" t="s">
        <v>1125</v>
      </c>
      <c r="I507" s="1" t="s">
        <v>167</v>
      </c>
      <c r="J507">
        <v>1109534</v>
      </c>
      <c r="K507">
        <v>1102195</v>
      </c>
      <c r="L507">
        <v>1125</v>
      </c>
      <c r="M507" s="9">
        <v>1.0206905312000001E-3</v>
      </c>
      <c r="N507">
        <v>612774</v>
      </c>
      <c r="O507" s="9">
        <v>0.55595788404000002</v>
      </c>
      <c r="P507">
        <v>110444</v>
      </c>
      <c r="Q507" s="9">
        <v>0.10020368447</v>
      </c>
      <c r="R507">
        <f>Telengana_Results_2024[[#This Row],[BJP votes]]-Telengana_Results_2024[[#This Row],[Max Votes Other Than BJP]]</f>
        <v>-502330</v>
      </c>
      <c r="S507" s="10">
        <f>Telengana_Results_2024[[#This Row],[BJP vote share]]-Telengana_Results_2024[[#This Row],[Max Vote share other than bjp ]]</f>
        <v>-0.45575419957000002</v>
      </c>
      <c r="T507">
        <v>1533858</v>
      </c>
      <c r="U507" s="8">
        <v>0.72336161495999995</v>
      </c>
      <c r="V507" s="1" t="s">
        <v>68</v>
      </c>
    </row>
    <row r="508" spans="1:22" x14ac:dyDescent="0.35">
      <c r="A508">
        <v>2024</v>
      </c>
      <c r="B508" s="1" t="s">
        <v>19</v>
      </c>
      <c r="C508" s="1" t="s">
        <v>1361</v>
      </c>
      <c r="D508" s="1" t="s">
        <v>1362</v>
      </c>
      <c r="E508" s="1" t="s">
        <v>21</v>
      </c>
      <c r="F508" s="1" t="s">
        <v>87</v>
      </c>
      <c r="G508" s="1" t="s">
        <v>112</v>
      </c>
      <c r="H508" s="1" t="s">
        <v>29</v>
      </c>
      <c r="I508" s="1" t="s">
        <v>30</v>
      </c>
      <c r="J508">
        <v>1252286</v>
      </c>
      <c r="K508">
        <v>1244501</v>
      </c>
      <c r="L508">
        <v>766929</v>
      </c>
      <c r="M508" s="9">
        <v>0.61625422558999998</v>
      </c>
      <c r="N508">
        <v>766929</v>
      </c>
      <c r="O508" s="9">
        <v>0.61625422558999998</v>
      </c>
      <c r="P508">
        <v>118636</v>
      </c>
      <c r="Q508" s="9">
        <v>9.5328167675000006E-2</v>
      </c>
      <c r="R508">
        <f>Telengana_Results_2024[[#This Row],[BJP votes]]-Telengana_Results_2024[[#This Row],[Max Votes Other Than BJP]]</f>
        <v>-648293</v>
      </c>
      <c r="S508" s="10">
        <f>Telengana_Results_2024[[#This Row],[BJP vote share]]-Telengana_Results_2024[[#This Row],[Max Vote share other than bjp ]]</f>
        <v>-0.52092605791500002</v>
      </c>
      <c r="T508">
        <v>1631952</v>
      </c>
      <c r="U508" s="8">
        <v>0.76735467710000005</v>
      </c>
      <c r="V508" s="1" t="s">
        <v>68</v>
      </c>
    </row>
    <row r="509" spans="1:22" x14ac:dyDescent="0.35">
      <c r="A509">
        <v>2024</v>
      </c>
      <c r="B509" s="1" t="s">
        <v>19</v>
      </c>
      <c r="C509" s="1" t="s">
        <v>1361</v>
      </c>
      <c r="D509" s="1" t="s">
        <v>1363</v>
      </c>
      <c r="E509" s="1" t="s">
        <v>21</v>
      </c>
      <c r="F509" s="1" t="s">
        <v>353</v>
      </c>
      <c r="G509" s="1" t="s">
        <v>112</v>
      </c>
      <c r="H509" s="1" t="s">
        <v>785</v>
      </c>
      <c r="I509" s="1" t="s">
        <v>25</v>
      </c>
      <c r="J509">
        <v>1252286</v>
      </c>
      <c r="K509">
        <v>1244501</v>
      </c>
      <c r="L509">
        <v>299082</v>
      </c>
      <c r="M509" s="9">
        <v>0.24032282819</v>
      </c>
      <c r="N509">
        <v>766929</v>
      </c>
      <c r="O509" s="9">
        <v>0.61625422558999998</v>
      </c>
      <c r="P509">
        <v>118636</v>
      </c>
      <c r="Q509" s="9">
        <v>9.5328167675000006E-2</v>
      </c>
      <c r="R509">
        <f>Telengana_Results_2024[[#This Row],[BJP votes]]-Telengana_Results_2024[[#This Row],[Max Votes Other Than BJP]]</f>
        <v>-648293</v>
      </c>
      <c r="S509" s="10">
        <f>Telengana_Results_2024[[#This Row],[BJP vote share]]-Telengana_Results_2024[[#This Row],[Max Vote share other than bjp ]]</f>
        <v>-0.52092605791500002</v>
      </c>
      <c r="T509">
        <v>1631952</v>
      </c>
      <c r="U509" s="8">
        <v>0.76735467710000005</v>
      </c>
      <c r="V509" s="1" t="s">
        <v>68</v>
      </c>
    </row>
    <row r="510" spans="1:22" x14ac:dyDescent="0.35">
      <c r="A510">
        <v>2024</v>
      </c>
      <c r="B510" s="1" t="s">
        <v>19</v>
      </c>
      <c r="C510" s="1" t="s">
        <v>1361</v>
      </c>
      <c r="D510" s="1" t="s">
        <v>1364</v>
      </c>
      <c r="E510" s="1" t="s">
        <v>21</v>
      </c>
      <c r="F510" s="1" t="s">
        <v>28</v>
      </c>
      <c r="G510" s="1" t="s">
        <v>112</v>
      </c>
      <c r="H510" s="1" t="s">
        <v>32</v>
      </c>
      <c r="I510" s="1" t="s">
        <v>33</v>
      </c>
      <c r="J510">
        <v>1252286</v>
      </c>
      <c r="K510">
        <v>1244501</v>
      </c>
      <c r="L510">
        <v>118636</v>
      </c>
      <c r="M510" s="9">
        <v>9.5328167675000006E-2</v>
      </c>
      <c r="N510">
        <v>766929</v>
      </c>
      <c r="O510" s="9">
        <v>0.61625422558999998</v>
      </c>
      <c r="P510">
        <v>118636</v>
      </c>
      <c r="Q510" s="9">
        <v>9.5328167675000006E-2</v>
      </c>
      <c r="R510">
        <f>Telengana_Results_2024[[#This Row],[BJP votes]]-Telengana_Results_2024[[#This Row],[Max Votes Other Than BJP]]</f>
        <v>-648293</v>
      </c>
      <c r="S510" s="10">
        <f>Telengana_Results_2024[[#This Row],[BJP vote share]]-Telengana_Results_2024[[#This Row],[Max Vote share other than bjp ]]</f>
        <v>-0.52092605791500002</v>
      </c>
      <c r="T510">
        <v>1631952</v>
      </c>
      <c r="U510" s="8">
        <v>0.76735467710000005</v>
      </c>
      <c r="V510" s="1" t="s">
        <v>68</v>
      </c>
    </row>
    <row r="511" spans="1:22" x14ac:dyDescent="0.35">
      <c r="A511">
        <v>2024</v>
      </c>
      <c r="B511" s="1" t="s">
        <v>19</v>
      </c>
      <c r="C511" s="1" t="s">
        <v>1361</v>
      </c>
      <c r="D511" s="1" t="s">
        <v>64</v>
      </c>
      <c r="E511" s="1" t="s">
        <v>64</v>
      </c>
      <c r="F511" s="1" t="s">
        <v>64</v>
      </c>
      <c r="G511" s="1" t="s">
        <v>64</v>
      </c>
      <c r="H511" s="1" t="s">
        <v>64</v>
      </c>
      <c r="I511" s="1" t="s">
        <v>64</v>
      </c>
      <c r="J511">
        <v>1252286</v>
      </c>
      <c r="K511">
        <v>1244501</v>
      </c>
      <c r="L511">
        <v>6782</v>
      </c>
      <c r="M511" s="9">
        <v>5.4495737649000002E-3</v>
      </c>
      <c r="N511">
        <v>766929</v>
      </c>
      <c r="O511" s="9">
        <v>0.61625422558999998</v>
      </c>
      <c r="P511">
        <v>118636</v>
      </c>
      <c r="Q511" s="9">
        <v>9.5328167675000006E-2</v>
      </c>
      <c r="R511">
        <f>Telengana_Results_2024[[#This Row],[BJP votes]]-Telengana_Results_2024[[#This Row],[Max Votes Other Than BJP]]</f>
        <v>-648293</v>
      </c>
      <c r="S511" s="10">
        <f>Telengana_Results_2024[[#This Row],[BJP vote share]]-Telengana_Results_2024[[#This Row],[Max Vote share other than bjp ]]</f>
        <v>-0.52092605791500002</v>
      </c>
      <c r="T511">
        <v>1631952</v>
      </c>
      <c r="U511" s="8">
        <v>0.76735467710000005</v>
      </c>
      <c r="V511" s="1" t="s">
        <v>68</v>
      </c>
    </row>
    <row r="512" spans="1:22" x14ac:dyDescent="0.35">
      <c r="A512">
        <v>2024</v>
      </c>
      <c r="B512" s="1" t="s">
        <v>19</v>
      </c>
      <c r="C512" s="1" t="s">
        <v>1361</v>
      </c>
      <c r="D512" s="1" t="s">
        <v>1365</v>
      </c>
      <c r="E512" s="1" t="s">
        <v>21</v>
      </c>
      <c r="F512" s="1" t="s">
        <v>44</v>
      </c>
      <c r="G512" s="1" t="s">
        <v>23</v>
      </c>
      <c r="H512" s="1" t="s">
        <v>53</v>
      </c>
      <c r="I512" s="1" t="s">
        <v>820</v>
      </c>
      <c r="J512">
        <v>1252286</v>
      </c>
      <c r="K512">
        <v>1244501</v>
      </c>
      <c r="L512">
        <v>6215</v>
      </c>
      <c r="M512" s="9">
        <v>4.9939694705000001E-3</v>
      </c>
      <c r="N512">
        <v>766929</v>
      </c>
      <c r="O512" s="9">
        <v>0.61625422558999998</v>
      </c>
      <c r="P512">
        <v>118636</v>
      </c>
      <c r="Q512" s="9">
        <v>9.5328167675000006E-2</v>
      </c>
      <c r="R512">
        <f>Telengana_Results_2024[[#This Row],[BJP votes]]-Telengana_Results_2024[[#This Row],[Max Votes Other Than BJP]]</f>
        <v>-648293</v>
      </c>
      <c r="S512" s="10">
        <f>Telengana_Results_2024[[#This Row],[BJP vote share]]-Telengana_Results_2024[[#This Row],[Max Vote share other than bjp ]]</f>
        <v>-0.52092605791500002</v>
      </c>
      <c r="T512">
        <v>1631952</v>
      </c>
      <c r="U512" s="8">
        <v>0.76735467710000005</v>
      </c>
      <c r="V512" s="1" t="s">
        <v>68</v>
      </c>
    </row>
    <row r="513" spans="1:22" x14ac:dyDescent="0.35">
      <c r="A513">
        <v>2024</v>
      </c>
      <c r="B513" s="1" t="s">
        <v>19</v>
      </c>
      <c r="C513" s="1" t="s">
        <v>1361</v>
      </c>
      <c r="D513" s="1" t="s">
        <v>1366</v>
      </c>
      <c r="E513" s="1" t="s">
        <v>21</v>
      </c>
      <c r="F513" s="1" t="s">
        <v>183</v>
      </c>
      <c r="G513" s="1" t="s">
        <v>67</v>
      </c>
      <c r="H513" s="1" t="s">
        <v>72</v>
      </c>
      <c r="I513" s="1" t="s">
        <v>73</v>
      </c>
      <c r="J513">
        <v>1252286</v>
      </c>
      <c r="K513">
        <v>1244501</v>
      </c>
      <c r="L513">
        <v>6101</v>
      </c>
      <c r="M513" s="9">
        <v>4.9023664906999997E-3</v>
      </c>
      <c r="N513">
        <v>766929</v>
      </c>
      <c r="O513" s="9">
        <v>0.61625422558999998</v>
      </c>
      <c r="P513">
        <v>118636</v>
      </c>
      <c r="Q513" s="9">
        <v>9.5328167675000006E-2</v>
      </c>
      <c r="R513">
        <f>Telengana_Results_2024[[#This Row],[BJP votes]]-Telengana_Results_2024[[#This Row],[Max Votes Other Than BJP]]</f>
        <v>-648293</v>
      </c>
      <c r="S513" s="10">
        <f>Telengana_Results_2024[[#This Row],[BJP vote share]]-Telengana_Results_2024[[#This Row],[Max Vote share other than bjp ]]</f>
        <v>-0.52092605791500002</v>
      </c>
      <c r="T513">
        <v>1631952</v>
      </c>
      <c r="U513" s="8">
        <v>0.76735467710000005</v>
      </c>
      <c r="V513" s="1" t="s">
        <v>68</v>
      </c>
    </row>
    <row r="514" spans="1:22" x14ac:dyDescent="0.35">
      <c r="A514">
        <v>2024</v>
      </c>
      <c r="B514" s="1" t="s">
        <v>19</v>
      </c>
      <c r="C514" s="1" t="s">
        <v>1361</v>
      </c>
      <c r="D514" s="1" t="s">
        <v>1367</v>
      </c>
      <c r="E514" s="1" t="s">
        <v>21</v>
      </c>
      <c r="F514" s="1" t="s">
        <v>362</v>
      </c>
      <c r="G514" s="1" t="s">
        <v>112</v>
      </c>
      <c r="H514" s="1" t="s">
        <v>53</v>
      </c>
      <c r="I514" s="1" t="s">
        <v>796</v>
      </c>
      <c r="J514">
        <v>1252286</v>
      </c>
      <c r="K514">
        <v>1244501</v>
      </c>
      <c r="L514">
        <v>6064</v>
      </c>
      <c r="M514" s="9">
        <v>4.8726356990000004E-3</v>
      </c>
      <c r="N514">
        <v>766929</v>
      </c>
      <c r="O514" s="9">
        <v>0.61625422558999998</v>
      </c>
      <c r="P514">
        <v>118636</v>
      </c>
      <c r="Q514" s="9">
        <v>9.5328167675000006E-2</v>
      </c>
      <c r="R514">
        <f>Telengana_Results_2024[[#This Row],[BJP votes]]-Telengana_Results_2024[[#This Row],[Max Votes Other Than BJP]]</f>
        <v>-648293</v>
      </c>
      <c r="S514" s="10">
        <f>Telengana_Results_2024[[#This Row],[BJP vote share]]-Telengana_Results_2024[[#This Row],[Max Vote share other than bjp ]]</f>
        <v>-0.52092605791500002</v>
      </c>
      <c r="T514">
        <v>1631952</v>
      </c>
      <c r="U514" s="8">
        <v>0.76735467710000005</v>
      </c>
      <c r="V514" s="1" t="s">
        <v>68</v>
      </c>
    </row>
    <row r="515" spans="1:22" x14ac:dyDescent="0.35">
      <c r="A515">
        <v>2024</v>
      </c>
      <c r="B515" s="1" t="s">
        <v>19</v>
      </c>
      <c r="C515" s="1" t="s">
        <v>1361</v>
      </c>
      <c r="D515" s="1" t="s">
        <v>1368</v>
      </c>
      <c r="E515" s="1" t="s">
        <v>21</v>
      </c>
      <c r="F515" s="1" t="s">
        <v>125</v>
      </c>
      <c r="G515" s="1" t="s">
        <v>112</v>
      </c>
      <c r="H515" s="1" t="s">
        <v>787</v>
      </c>
      <c r="I515" s="1" t="s">
        <v>788</v>
      </c>
      <c r="J515">
        <v>1252286</v>
      </c>
      <c r="K515">
        <v>1244501</v>
      </c>
      <c r="L515">
        <v>5743</v>
      </c>
      <c r="M515" s="9">
        <v>4.6147009925999998E-3</v>
      </c>
      <c r="N515">
        <v>766929</v>
      </c>
      <c r="O515" s="9">
        <v>0.61625422558999998</v>
      </c>
      <c r="P515">
        <v>118636</v>
      </c>
      <c r="Q515" s="9">
        <v>9.5328167675000006E-2</v>
      </c>
      <c r="R515">
        <f>Telengana_Results_2024[[#This Row],[BJP votes]]-Telengana_Results_2024[[#This Row],[Max Votes Other Than BJP]]</f>
        <v>-648293</v>
      </c>
      <c r="S515" s="10">
        <f>Telengana_Results_2024[[#This Row],[BJP vote share]]-Telengana_Results_2024[[#This Row],[Max Vote share other than bjp ]]</f>
        <v>-0.52092605791500002</v>
      </c>
      <c r="T515">
        <v>1631952</v>
      </c>
      <c r="U515" s="8">
        <v>0.76735467710000005</v>
      </c>
      <c r="V515" s="1" t="s">
        <v>68</v>
      </c>
    </row>
    <row r="516" spans="1:22" x14ac:dyDescent="0.35">
      <c r="A516">
        <v>2024</v>
      </c>
      <c r="B516" s="1" t="s">
        <v>19</v>
      </c>
      <c r="C516" s="1" t="s">
        <v>1361</v>
      </c>
      <c r="D516" s="1" t="s">
        <v>1369</v>
      </c>
      <c r="E516" s="1" t="s">
        <v>21</v>
      </c>
      <c r="F516" s="1" t="s">
        <v>66</v>
      </c>
      <c r="G516" s="1" t="s">
        <v>112</v>
      </c>
      <c r="H516" s="1" t="s">
        <v>53</v>
      </c>
      <c r="I516" s="1" t="s">
        <v>208</v>
      </c>
      <c r="J516">
        <v>1252286</v>
      </c>
      <c r="K516">
        <v>1244501</v>
      </c>
      <c r="L516">
        <v>4114</v>
      </c>
      <c r="M516" s="9">
        <v>3.3057426229000002E-3</v>
      </c>
      <c r="N516">
        <v>766929</v>
      </c>
      <c r="O516" s="9">
        <v>0.61625422558999998</v>
      </c>
      <c r="P516">
        <v>118636</v>
      </c>
      <c r="Q516" s="9">
        <v>9.5328167675000006E-2</v>
      </c>
      <c r="R516">
        <f>Telengana_Results_2024[[#This Row],[BJP votes]]-Telengana_Results_2024[[#This Row],[Max Votes Other Than BJP]]</f>
        <v>-648293</v>
      </c>
      <c r="S516" s="10">
        <f>Telengana_Results_2024[[#This Row],[BJP vote share]]-Telengana_Results_2024[[#This Row],[Max Vote share other than bjp ]]</f>
        <v>-0.52092605791500002</v>
      </c>
      <c r="T516">
        <v>1631952</v>
      </c>
      <c r="U516" s="8">
        <v>0.76735467710000005</v>
      </c>
      <c r="V516" s="1" t="s">
        <v>68</v>
      </c>
    </row>
    <row r="517" spans="1:22" x14ac:dyDescent="0.35">
      <c r="A517">
        <v>2024</v>
      </c>
      <c r="B517" s="1" t="s">
        <v>19</v>
      </c>
      <c r="C517" s="1" t="s">
        <v>1361</v>
      </c>
      <c r="D517" s="1" t="s">
        <v>1370</v>
      </c>
      <c r="E517" s="1" t="s">
        <v>21</v>
      </c>
      <c r="F517" s="1" t="s">
        <v>56</v>
      </c>
      <c r="G517" s="1" t="s">
        <v>67</v>
      </c>
      <c r="H517" s="1" t="s">
        <v>53</v>
      </c>
      <c r="I517" s="1" t="s">
        <v>1003</v>
      </c>
      <c r="J517">
        <v>1252286</v>
      </c>
      <c r="K517">
        <v>1244501</v>
      </c>
      <c r="L517">
        <v>3113</v>
      </c>
      <c r="M517" s="9">
        <v>2.5014041772999998E-3</v>
      </c>
      <c r="N517">
        <v>766929</v>
      </c>
      <c r="O517" s="9">
        <v>0.61625422558999998</v>
      </c>
      <c r="P517">
        <v>118636</v>
      </c>
      <c r="Q517" s="9">
        <v>9.5328167675000006E-2</v>
      </c>
      <c r="R517">
        <f>Telengana_Results_2024[[#This Row],[BJP votes]]-Telengana_Results_2024[[#This Row],[Max Votes Other Than BJP]]</f>
        <v>-648293</v>
      </c>
      <c r="S517" s="10">
        <f>Telengana_Results_2024[[#This Row],[BJP vote share]]-Telengana_Results_2024[[#This Row],[Max Vote share other than bjp ]]</f>
        <v>-0.52092605791500002</v>
      </c>
      <c r="T517">
        <v>1631952</v>
      </c>
      <c r="U517" s="8">
        <v>0.76735467710000005</v>
      </c>
      <c r="V517" s="1" t="s">
        <v>68</v>
      </c>
    </row>
    <row r="518" spans="1:22" x14ac:dyDescent="0.35">
      <c r="A518">
        <v>2024</v>
      </c>
      <c r="B518" s="1" t="s">
        <v>19</v>
      </c>
      <c r="C518" s="1" t="s">
        <v>1361</v>
      </c>
      <c r="D518" s="1" t="s">
        <v>1371</v>
      </c>
      <c r="E518" s="1" t="s">
        <v>21</v>
      </c>
      <c r="F518" s="1" t="s">
        <v>44</v>
      </c>
      <c r="G518" s="1" t="s">
        <v>112</v>
      </c>
      <c r="H518" s="1" t="s">
        <v>53</v>
      </c>
      <c r="I518" s="1" t="s">
        <v>284</v>
      </c>
      <c r="J518">
        <v>1252286</v>
      </c>
      <c r="K518">
        <v>1244501</v>
      </c>
      <c r="L518">
        <v>2424</v>
      </c>
      <c r="M518" s="9">
        <v>1.9477686237E-3</v>
      </c>
      <c r="N518">
        <v>766929</v>
      </c>
      <c r="O518" s="9">
        <v>0.61625422558999998</v>
      </c>
      <c r="P518">
        <v>118636</v>
      </c>
      <c r="Q518" s="9">
        <v>9.5328167675000006E-2</v>
      </c>
      <c r="R518">
        <f>Telengana_Results_2024[[#This Row],[BJP votes]]-Telengana_Results_2024[[#This Row],[Max Votes Other Than BJP]]</f>
        <v>-648293</v>
      </c>
      <c r="S518" s="10">
        <f>Telengana_Results_2024[[#This Row],[BJP vote share]]-Telengana_Results_2024[[#This Row],[Max Vote share other than bjp ]]</f>
        <v>-0.52092605791500002</v>
      </c>
      <c r="T518">
        <v>1631952</v>
      </c>
      <c r="U518" s="8">
        <v>0.76735467710000005</v>
      </c>
      <c r="V518" s="1" t="s">
        <v>68</v>
      </c>
    </row>
    <row r="519" spans="1:22" x14ac:dyDescent="0.35">
      <c r="A519">
        <v>2024</v>
      </c>
      <c r="B519" s="1" t="s">
        <v>19</v>
      </c>
      <c r="C519" s="1" t="s">
        <v>1361</v>
      </c>
      <c r="D519" s="1" t="s">
        <v>1372</v>
      </c>
      <c r="E519" s="1" t="s">
        <v>21</v>
      </c>
      <c r="F519" s="1" t="s">
        <v>200</v>
      </c>
      <c r="G519" s="1" t="s">
        <v>67</v>
      </c>
      <c r="H519" s="1" t="s">
        <v>53</v>
      </c>
      <c r="I519" s="1" t="s">
        <v>194</v>
      </c>
      <c r="J519">
        <v>1252286</v>
      </c>
      <c r="K519">
        <v>1244501</v>
      </c>
      <c r="L519">
        <v>2237</v>
      </c>
      <c r="M519" s="9">
        <v>1.7975075954E-3</v>
      </c>
      <c r="N519">
        <v>766929</v>
      </c>
      <c r="O519" s="9">
        <v>0.61625422558999998</v>
      </c>
      <c r="P519">
        <v>118636</v>
      </c>
      <c r="Q519" s="9">
        <v>9.5328167675000006E-2</v>
      </c>
      <c r="R519">
        <f>Telengana_Results_2024[[#This Row],[BJP votes]]-Telengana_Results_2024[[#This Row],[Max Votes Other Than BJP]]</f>
        <v>-648293</v>
      </c>
      <c r="S519" s="10">
        <f>Telengana_Results_2024[[#This Row],[BJP vote share]]-Telengana_Results_2024[[#This Row],[Max Vote share other than bjp ]]</f>
        <v>-0.52092605791500002</v>
      </c>
      <c r="T519">
        <v>1631952</v>
      </c>
      <c r="U519" s="8">
        <v>0.76735467710000005</v>
      </c>
      <c r="V519" s="1" t="s">
        <v>68</v>
      </c>
    </row>
    <row r="520" spans="1:22" x14ac:dyDescent="0.35">
      <c r="A520">
        <v>2024</v>
      </c>
      <c r="B520" s="1" t="s">
        <v>19</v>
      </c>
      <c r="C520" s="1" t="s">
        <v>1361</v>
      </c>
      <c r="D520" s="1" t="s">
        <v>676</v>
      </c>
      <c r="E520" s="1" t="s">
        <v>21</v>
      </c>
      <c r="F520" s="1" t="s">
        <v>205</v>
      </c>
      <c r="G520" s="1" t="s">
        <v>67</v>
      </c>
      <c r="H520" s="1" t="s">
        <v>53</v>
      </c>
      <c r="I520" s="1" t="s">
        <v>198</v>
      </c>
      <c r="J520">
        <v>1252286</v>
      </c>
      <c r="K520">
        <v>1244501</v>
      </c>
      <c r="L520">
        <v>2122</v>
      </c>
      <c r="M520" s="9">
        <v>1.7051010807E-3</v>
      </c>
      <c r="N520">
        <v>766929</v>
      </c>
      <c r="O520" s="9">
        <v>0.61625422558999998</v>
      </c>
      <c r="P520">
        <v>118636</v>
      </c>
      <c r="Q520" s="9">
        <v>9.5328167675000006E-2</v>
      </c>
      <c r="R520">
        <f>Telengana_Results_2024[[#This Row],[BJP votes]]-Telengana_Results_2024[[#This Row],[Max Votes Other Than BJP]]</f>
        <v>-648293</v>
      </c>
      <c r="S520" s="10">
        <f>Telengana_Results_2024[[#This Row],[BJP vote share]]-Telengana_Results_2024[[#This Row],[Max Vote share other than bjp ]]</f>
        <v>-0.52092605791500002</v>
      </c>
      <c r="T520">
        <v>1631952</v>
      </c>
      <c r="U520" s="8">
        <v>0.76735467710000005</v>
      </c>
      <c r="V520" s="1" t="s">
        <v>68</v>
      </c>
    </row>
    <row r="521" spans="1:22" x14ac:dyDescent="0.35">
      <c r="A521">
        <v>2024</v>
      </c>
      <c r="B521" s="1" t="s">
        <v>19</v>
      </c>
      <c r="C521" s="1" t="s">
        <v>1361</v>
      </c>
      <c r="D521" s="1" t="s">
        <v>1373</v>
      </c>
      <c r="E521" s="1" t="s">
        <v>21</v>
      </c>
      <c r="F521" s="1" t="s">
        <v>71</v>
      </c>
      <c r="G521" s="1" t="s">
        <v>112</v>
      </c>
      <c r="H521" s="1" t="s">
        <v>53</v>
      </c>
      <c r="I521" s="1" t="s">
        <v>911</v>
      </c>
      <c r="J521">
        <v>1252286</v>
      </c>
      <c r="K521">
        <v>1244501</v>
      </c>
      <c r="L521">
        <v>2028</v>
      </c>
      <c r="M521" s="9">
        <v>1.6295687991E-3</v>
      </c>
      <c r="N521">
        <v>766929</v>
      </c>
      <c r="O521" s="9">
        <v>0.61625422558999998</v>
      </c>
      <c r="P521">
        <v>118636</v>
      </c>
      <c r="Q521" s="9">
        <v>9.5328167675000006E-2</v>
      </c>
      <c r="R521">
        <f>Telengana_Results_2024[[#This Row],[BJP votes]]-Telengana_Results_2024[[#This Row],[Max Votes Other Than BJP]]</f>
        <v>-648293</v>
      </c>
      <c r="S521" s="10">
        <f>Telengana_Results_2024[[#This Row],[BJP vote share]]-Telengana_Results_2024[[#This Row],[Max Vote share other than bjp ]]</f>
        <v>-0.52092605791500002</v>
      </c>
      <c r="T521">
        <v>1631952</v>
      </c>
      <c r="U521" s="8">
        <v>0.76735467710000005</v>
      </c>
      <c r="V521" s="1" t="s">
        <v>68</v>
      </c>
    </row>
    <row r="522" spans="1:22" x14ac:dyDescent="0.35">
      <c r="A522">
        <v>2024</v>
      </c>
      <c r="B522" s="1" t="s">
        <v>19</v>
      </c>
      <c r="C522" s="1" t="s">
        <v>1361</v>
      </c>
      <c r="D522" s="1" t="s">
        <v>1374</v>
      </c>
      <c r="E522" s="1" t="s">
        <v>21</v>
      </c>
      <c r="F522" s="1" t="s">
        <v>95</v>
      </c>
      <c r="G522" s="1" t="s">
        <v>67</v>
      </c>
      <c r="H522" s="1" t="s">
        <v>53</v>
      </c>
      <c r="I522" s="1" t="s">
        <v>46</v>
      </c>
      <c r="J522">
        <v>1252286</v>
      </c>
      <c r="K522">
        <v>1244501</v>
      </c>
      <c r="L522">
        <v>1854</v>
      </c>
      <c r="M522" s="9">
        <v>1.4897537245999999E-3</v>
      </c>
      <c r="N522">
        <v>766929</v>
      </c>
      <c r="O522" s="9">
        <v>0.61625422558999998</v>
      </c>
      <c r="P522">
        <v>118636</v>
      </c>
      <c r="Q522" s="9">
        <v>9.5328167675000006E-2</v>
      </c>
      <c r="R522">
        <f>Telengana_Results_2024[[#This Row],[BJP votes]]-Telengana_Results_2024[[#This Row],[Max Votes Other Than BJP]]</f>
        <v>-648293</v>
      </c>
      <c r="S522" s="10">
        <f>Telengana_Results_2024[[#This Row],[BJP vote share]]-Telengana_Results_2024[[#This Row],[Max Vote share other than bjp ]]</f>
        <v>-0.52092605791500002</v>
      </c>
      <c r="T522">
        <v>1631952</v>
      </c>
      <c r="U522" s="8">
        <v>0.76735467710000005</v>
      </c>
      <c r="V522" s="1" t="s">
        <v>68</v>
      </c>
    </row>
    <row r="523" spans="1:22" x14ac:dyDescent="0.35">
      <c r="A523">
        <v>2024</v>
      </c>
      <c r="B523" s="1" t="s">
        <v>19</v>
      </c>
      <c r="C523" s="1" t="s">
        <v>1361</v>
      </c>
      <c r="D523" s="1" t="s">
        <v>1375</v>
      </c>
      <c r="E523" s="1" t="s">
        <v>21</v>
      </c>
      <c r="F523" s="1" t="s">
        <v>44</v>
      </c>
      <c r="G523" s="1" t="s">
        <v>112</v>
      </c>
      <c r="H523" s="1" t="s">
        <v>53</v>
      </c>
      <c r="I523" s="1" t="s">
        <v>250</v>
      </c>
      <c r="J523">
        <v>1252286</v>
      </c>
      <c r="K523">
        <v>1244501</v>
      </c>
      <c r="L523">
        <v>1790</v>
      </c>
      <c r="M523" s="9">
        <v>1.4383274902999999E-3</v>
      </c>
      <c r="N523">
        <v>766929</v>
      </c>
      <c r="O523" s="9">
        <v>0.61625422558999998</v>
      </c>
      <c r="P523">
        <v>118636</v>
      </c>
      <c r="Q523" s="9">
        <v>9.5328167675000006E-2</v>
      </c>
      <c r="R523">
        <f>Telengana_Results_2024[[#This Row],[BJP votes]]-Telengana_Results_2024[[#This Row],[Max Votes Other Than BJP]]</f>
        <v>-648293</v>
      </c>
      <c r="S523" s="10">
        <f>Telengana_Results_2024[[#This Row],[BJP vote share]]-Telengana_Results_2024[[#This Row],[Max Vote share other than bjp ]]</f>
        <v>-0.52092605791500002</v>
      </c>
      <c r="T523">
        <v>1631952</v>
      </c>
      <c r="U523" s="8">
        <v>0.76735467710000005</v>
      </c>
      <c r="V523" s="1" t="s">
        <v>68</v>
      </c>
    </row>
    <row r="524" spans="1:22" x14ac:dyDescent="0.35">
      <c r="A524">
        <v>2024</v>
      </c>
      <c r="B524" s="1" t="s">
        <v>19</v>
      </c>
      <c r="C524" s="1" t="s">
        <v>1361</v>
      </c>
      <c r="D524" s="1" t="s">
        <v>1376</v>
      </c>
      <c r="E524" s="1" t="s">
        <v>21</v>
      </c>
      <c r="F524" s="1" t="s">
        <v>80</v>
      </c>
      <c r="G524" s="1" t="s">
        <v>112</v>
      </c>
      <c r="H524" s="1" t="s">
        <v>53</v>
      </c>
      <c r="I524" s="1" t="s">
        <v>890</v>
      </c>
      <c r="J524">
        <v>1252286</v>
      </c>
      <c r="K524">
        <v>1244501</v>
      </c>
      <c r="L524">
        <v>1663</v>
      </c>
      <c r="M524" s="9">
        <v>1.3362785566E-3</v>
      </c>
      <c r="N524">
        <v>766929</v>
      </c>
      <c r="O524" s="9">
        <v>0.61625422558999998</v>
      </c>
      <c r="P524">
        <v>118636</v>
      </c>
      <c r="Q524" s="9">
        <v>9.5328167675000006E-2</v>
      </c>
      <c r="R524">
        <f>Telengana_Results_2024[[#This Row],[BJP votes]]-Telengana_Results_2024[[#This Row],[Max Votes Other Than BJP]]</f>
        <v>-648293</v>
      </c>
      <c r="S524" s="10">
        <f>Telengana_Results_2024[[#This Row],[BJP vote share]]-Telengana_Results_2024[[#This Row],[Max Vote share other than bjp ]]</f>
        <v>-0.52092605791500002</v>
      </c>
      <c r="T524">
        <v>1631952</v>
      </c>
      <c r="U524" s="8">
        <v>0.76735467710000005</v>
      </c>
      <c r="V524" s="1" t="s">
        <v>68</v>
      </c>
    </row>
    <row r="525" spans="1:22" x14ac:dyDescent="0.35">
      <c r="A525">
        <v>2024</v>
      </c>
      <c r="B525" s="1" t="s">
        <v>19</v>
      </c>
      <c r="C525" s="1" t="s">
        <v>1361</v>
      </c>
      <c r="D525" s="1" t="s">
        <v>1377</v>
      </c>
      <c r="E525" s="1" t="s">
        <v>21</v>
      </c>
      <c r="F525" s="1" t="s">
        <v>205</v>
      </c>
      <c r="G525" s="1" t="s">
        <v>112</v>
      </c>
      <c r="H525" s="1" t="s">
        <v>53</v>
      </c>
      <c r="I525" s="1" t="s">
        <v>161</v>
      </c>
      <c r="J525">
        <v>1252286</v>
      </c>
      <c r="K525">
        <v>1244501</v>
      </c>
      <c r="L525">
        <v>1342</v>
      </c>
      <c r="M525" s="9">
        <v>1.0783438503E-3</v>
      </c>
      <c r="N525">
        <v>766929</v>
      </c>
      <c r="O525" s="9">
        <v>0.61625422558999998</v>
      </c>
      <c r="P525">
        <v>118636</v>
      </c>
      <c r="Q525" s="9">
        <v>9.5328167675000006E-2</v>
      </c>
      <c r="R525">
        <f>Telengana_Results_2024[[#This Row],[BJP votes]]-Telengana_Results_2024[[#This Row],[Max Votes Other Than BJP]]</f>
        <v>-648293</v>
      </c>
      <c r="S525" s="10">
        <f>Telengana_Results_2024[[#This Row],[BJP vote share]]-Telengana_Results_2024[[#This Row],[Max Vote share other than bjp ]]</f>
        <v>-0.52092605791500002</v>
      </c>
      <c r="T525">
        <v>1631952</v>
      </c>
      <c r="U525" s="8">
        <v>0.76735467710000005</v>
      </c>
      <c r="V525" s="1" t="s">
        <v>68</v>
      </c>
    </row>
    <row r="526" spans="1:22" x14ac:dyDescent="0.35">
      <c r="A526">
        <v>2024</v>
      </c>
      <c r="B526" s="1" t="s">
        <v>19</v>
      </c>
      <c r="C526" s="1" t="s">
        <v>1361</v>
      </c>
      <c r="D526" s="1" t="s">
        <v>1378</v>
      </c>
      <c r="E526" s="1" t="s">
        <v>21</v>
      </c>
      <c r="F526" s="1" t="s">
        <v>52</v>
      </c>
      <c r="G526" s="1" t="s">
        <v>67</v>
      </c>
      <c r="H526" s="1" t="s">
        <v>1379</v>
      </c>
      <c r="I526" s="1" t="s">
        <v>50</v>
      </c>
      <c r="J526">
        <v>1252286</v>
      </c>
      <c r="K526">
        <v>1244501</v>
      </c>
      <c r="L526">
        <v>1273</v>
      </c>
      <c r="M526" s="9">
        <v>1.0228999413999999E-3</v>
      </c>
      <c r="N526">
        <v>766929</v>
      </c>
      <c r="O526" s="9">
        <v>0.61625422558999998</v>
      </c>
      <c r="P526">
        <v>118636</v>
      </c>
      <c r="Q526" s="9">
        <v>9.5328167675000006E-2</v>
      </c>
      <c r="R526">
        <f>Telengana_Results_2024[[#This Row],[BJP votes]]-Telengana_Results_2024[[#This Row],[Max Votes Other Than BJP]]</f>
        <v>-648293</v>
      </c>
      <c r="S526" s="10">
        <f>Telengana_Results_2024[[#This Row],[BJP vote share]]-Telengana_Results_2024[[#This Row],[Max Vote share other than bjp ]]</f>
        <v>-0.52092605791500002</v>
      </c>
      <c r="T526">
        <v>1631952</v>
      </c>
      <c r="U526" s="8">
        <v>0.76735467710000005</v>
      </c>
      <c r="V526" s="1" t="s">
        <v>68</v>
      </c>
    </row>
    <row r="527" spans="1:22" x14ac:dyDescent="0.35">
      <c r="A527">
        <v>2024</v>
      </c>
      <c r="B527" s="1" t="s">
        <v>19</v>
      </c>
      <c r="C527" s="1" t="s">
        <v>1361</v>
      </c>
      <c r="D527" s="1" t="s">
        <v>1380</v>
      </c>
      <c r="E527" s="1" t="s">
        <v>21</v>
      </c>
      <c r="F527" s="1" t="s">
        <v>155</v>
      </c>
      <c r="G527" s="1" t="s">
        <v>112</v>
      </c>
      <c r="H527" s="1" t="s">
        <v>53</v>
      </c>
      <c r="I527" s="1" t="s">
        <v>133</v>
      </c>
      <c r="J527">
        <v>1252286</v>
      </c>
      <c r="K527">
        <v>1244501</v>
      </c>
      <c r="L527">
        <v>1053</v>
      </c>
      <c r="M527" s="9">
        <v>8.4612226105000002E-4</v>
      </c>
      <c r="N527">
        <v>766929</v>
      </c>
      <c r="O527" s="9">
        <v>0.61625422558999998</v>
      </c>
      <c r="P527">
        <v>118636</v>
      </c>
      <c r="Q527" s="9">
        <v>9.5328167675000006E-2</v>
      </c>
      <c r="R527">
        <f>Telengana_Results_2024[[#This Row],[BJP votes]]-Telengana_Results_2024[[#This Row],[Max Votes Other Than BJP]]</f>
        <v>-648293</v>
      </c>
      <c r="S527" s="10">
        <f>Telengana_Results_2024[[#This Row],[BJP vote share]]-Telengana_Results_2024[[#This Row],[Max Vote share other than bjp ]]</f>
        <v>-0.52092605791500002</v>
      </c>
      <c r="T527">
        <v>1631952</v>
      </c>
      <c r="U527" s="8">
        <v>0.76735467710000005</v>
      </c>
      <c r="V527" s="1" t="s">
        <v>68</v>
      </c>
    </row>
    <row r="528" spans="1:22" x14ac:dyDescent="0.35">
      <c r="A528">
        <v>2024</v>
      </c>
      <c r="B528" s="1" t="s">
        <v>19</v>
      </c>
      <c r="C528" s="1" t="s">
        <v>1361</v>
      </c>
      <c r="D528" s="1" t="s">
        <v>1381</v>
      </c>
      <c r="E528" s="1" t="s">
        <v>21</v>
      </c>
      <c r="F528" s="1" t="s">
        <v>44</v>
      </c>
      <c r="G528" s="1" t="s">
        <v>112</v>
      </c>
      <c r="H528" s="1" t="s">
        <v>53</v>
      </c>
      <c r="I528" s="1" t="s">
        <v>339</v>
      </c>
      <c r="J528">
        <v>1252286</v>
      </c>
      <c r="K528">
        <v>1244501</v>
      </c>
      <c r="L528">
        <v>1022</v>
      </c>
      <c r="M528" s="9">
        <v>8.2121267881999998E-4</v>
      </c>
      <c r="N528">
        <v>766929</v>
      </c>
      <c r="O528" s="9">
        <v>0.61625422558999998</v>
      </c>
      <c r="P528">
        <v>118636</v>
      </c>
      <c r="Q528" s="9">
        <v>9.5328167675000006E-2</v>
      </c>
      <c r="R528">
        <f>Telengana_Results_2024[[#This Row],[BJP votes]]-Telengana_Results_2024[[#This Row],[Max Votes Other Than BJP]]</f>
        <v>-648293</v>
      </c>
      <c r="S528" s="10">
        <f>Telengana_Results_2024[[#This Row],[BJP vote share]]-Telengana_Results_2024[[#This Row],[Max Vote share other than bjp ]]</f>
        <v>-0.52092605791500002</v>
      </c>
      <c r="T528">
        <v>1631952</v>
      </c>
      <c r="U528" s="8">
        <v>0.76735467710000005</v>
      </c>
      <c r="V528" s="1" t="s">
        <v>68</v>
      </c>
    </row>
    <row r="529" spans="1:22" x14ac:dyDescent="0.35">
      <c r="A529">
        <v>2024</v>
      </c>
      <c r="B529" s="1" t="s">
        <v>19</v>
      </c>
      <c r="C529" s="1" t="s">
        <v>1361</v>
      </c>
      <c r="D529" s="1" t="s">
        <v>1382</v>
      </c>
      <c r="E529" s="1" t="s">
        <v>21</v>
      </c>
      <c r="F529" s="1" t="s">
        <v>234</v>
      </c>
      <c r="G529" s="1" t="s">
        <v>67</v>
      </c>
      <c r="H529" s="1" t="s">
        <v>53</v>
      </c>
      <c r="I529" s="1" t="s">
        <v>1383</v>
      </c>
      <c r="J529">
        <v>1252286</v>
      </c>
      <c r="K529">
        <v>1244501</v>
      </c>
      <c r="L529">
        <v>1018</v>
      </c>
      <c r="M529" s="9">
        <v>8.1799853917E-4</v>
      </c>
      <c r="N529">
        <v>766929</v>
      </c>
      <c r="O529" s="9">
        <v>0.61625422558999998</v>
      </c>
      <c r="P529">
        <v>118636</v>
      </c>
      <c r="Q529" s="9">
        <v>9.5328167675000006E-2</v>
      </c>
      <c r="R529">
        <f>Telengana_Results_2024[[#This Row],[BJP votes]]-Telengana_Results_2024[[#This Row],[Max Votes Other Than BJP]]</f>
        <v>-648293</v>
      </c>
      <c r="S529" s="10">
        <f>Telengana_Results_2024[[#This Row],[BJP vote share]]-Telengana_Results_2024[[#This Row],[Max Vote share other than bjp ]]</f>
        <v>-0.52092605791500002</v>
      </c>
      <c r="T529">
        <v>1631952</v>
      </c>
      <c r="U529" s="8">
        <v>0.76735467710000005</v>
      </c>
      <c r="V529" s="1" t="s">
        <v>68</v>
      </c>
    </row>
    <row r="530" spans="1:22" x14ac:dyDescent="0.35">
      <c r="A530">
        <v>2024</v>
      </c>
      <c r="B530" s="1" t="s">
        <v>19</v>
      </c>
      <c r="C530" s="1" t="s">
        <v>1361</v>
      </c>
      <c r="D530" s="1" t="s">
        <v>750</v>
      </c>
      <c r="E530" s="1" t="s">
        <v>21</v>
      </c>
      <c r="F530" s="1" t="s">
        <v>642</v>
      </c>
      <c r="G530" s="1" t="s">
        <v>112</v>
      </c>
      <c r="H530" s="1" t="s">
        <v>53</v>
      </c>
      <c r="I530" s="1" t="s">
        <v>54</v>
      </c>
      <c r="J530">
        <v>1252286</v>
      </c>
      <c r="K530">
        <v>1244501</v>
      </c>
      <c r="L530">
        <v>950</v>
      </c>
      <c r="M530" s="9">
        <v>7.6335816523999997E-4</v>
      </c>
      <c r="N530">
        <v>766929</v>
      </c>
      <c r="O530" s="9">
        <v>0.61625422558999998</v>
      </c>
      <c r="P530">
        <v>118636</v>
      </c>
      <c r="Q530" s="9">
        <v>9.5328167675000006E-2</v>
      </c>
      <c r="R530">
        <f>Telengana_Results_2024[[#This Row],[BJP votes]]-Telengana_Results_2024[[#This Row],[Max Votes Other Than BJP]]</f>
        <v>-648293</v>
      </c>
      <c r="S530" s="10">
        <f>Telengana_Results_2024[[#This Row],[BJP vote share]]-Telengana_Results_2024[[#This Row],[Max Vote share other than bjp ]]</f>
        <v>-0.52092605791500002</v>
      </c>
      <c r="T530">
        <v>1631952</v>
      </c>
      <c r="U530" s="8">
        <v>0.76735467710000005</v>
      </c>
      <c r="V530" s="1" t="s">
        <v>68</v>
      </c>
    </row>
    <row r="531" spans="1:22" x14ac:dyDescent="0.35">
      <c r="A531">
        <v>2024</v>
      </c>
      <c r="B531" s="1" t="s">
        <v>19</v>
      </c>
      <c r="C531" s="1" t="s">
        <v>1361</v>
      </c>
      <c r="D531" s="1" t="s">
        <v>1384</v>
      </c>
      <c r="E531" s="1" t="s">
        <v>21</v>
      </c>
      <c r="F531" s="1" t="s">
        <v>104</v>
      </c>
      <c r="G531" s="1" t="s">
        <v>23</v>
      </c>
      <c r="H531" s="1" t="s">
        <v>53</v>
      </c>
      <c r="I531" s="1" t="s">
        <v>60</v>
      </c>
      <c r="J531">
        <v>1252286</v>
      </c>
      <c r="K531">
        <v>1244501</v>
      </c>
      <c r="L531">
        <v>919</v>
      </c>
      <c r="M531" s="9">
        <v>7.3844858301000003E-4</v>
      </c>
      <c r="N531">
        <v>766929</v>
      </c>
      <c r="O531" s="9">
        <v>0.61625422558999998</v>
      </c>
      <c r="P531">
        <v>118636</v>
      </c>
      <c r="Q531" s="9">
        <v>9.5328167675000006E-2</v>
      </c>
      <c r="R531">
        <f>Telengana_Results_2024[[#This Row],[BJP votes]]-Telengana_Results_2024[[#This Row],[Max Votes Other Than BJP]]</f>
        <v>-648293</v>
      </c>
      <c r="S531" s="10">
        <f>Telengana_Results_2024[[#This Row],[BJP vote share]]-Telengana_Results_2024[[#This Row],[Max Vote share other than bjp ]]</f>
        <v>-0.52092605791500002</v>
      </c>
      <c r="T531">
        <v>1631952</v>
      </c>
      <c r="U531" s="8">
        <v>0.76735467710000005</v>
      </c>
      <c r="V531" s="1" t="s">
        <v>68</v>
      </c>
    </row>
    <row r="532" spans="1:22" x14ac:dyDescent="0.35">
      <c r="A532">
        <v>2024</v>
      </c>
      <c r="B532" s="1" t="s">
        <v>19</v>
      </c>
      <c r="C532" s="1" t="s">
        <v>1361</v>
      </c>
      <c r="D532" s="1" t="s">
        <v>1385</v>
      </c>
      <c r="E532" s="1" t="s">
        <v>21</v>
      </c>
      <c r="F532" s="1" t="s">
        <v>176</v>
      </c>
      <c r="G532" s="1" t="s">
        <v>112</v>
      </c>
      <c r="H532" s="1" t="s">
        <v>860</v>
      </c>
      <c r="I532" s="1" t="s">
        <v>107</v>
      </c>
      <c r="J532">
        <v>1252286</v>
      </c>
      <c r="K532">
        <v>1244501</v>
      </c>
      <c r="L532">
        <v>754</v>
      </c>
      <c r="M532" s="9">
        <v>6.0586532272999998E-4</v>
      </c>
      <c r="N532">
        <v>766929</v>
      </c>
      <c r="O532" s="9">
        <v>0.61625422558999998</v>
      </c>
      <c r="P532">
        <v>118636</v>
      </c>
      <c r="Q532" s="9">
        <v>9.5328167675000006E-2</v>
      </c>
      <c r="R532">
        <f>Telengana_Results_2024[[#This Row],[BJP votes]]-Telengana_Results_2024[[#This Row],[Max Votes Other Than BJP]]</f>
        <v>-648293</v>
      </c>
      <c r="S532" s="10">
        <f>Telengana_Results_2024[[#This Row],[BJP vote share]]-Telengana_Results_2024[[#This Row],[Max Vote share other than bjp ]]</f>
        <v>-0.52092605791500002</v>
      </c>
      <c r="T532">
        <v>1631952</v>
      </c>
      <c r="U532" s="8">
        <v>0.76735467710000005</v>
      </c>
      <c r="V532" s="1" t="s">
        <v>68</v>
      </c>
    </row>
    <row r="533" spans="1:22" x14ac:dyDescent="0.35">
      <c r="A533">
        <v>2024</v>
      </c>
      <c r="B533" s="1" t="s">
        <v>19</v>
      </c>
      <c r="C533" s="1" t="s">
        <v>1361</v>
      </c>
      <c r="D533" s="1" t="s">
        <v>1386</v>
      </c>
      <c r="E533" s="1" t="s">
        <v>21</v>
      </c>
      <c r="F533" s="1" t="s">
        <v>176</v>
      </c>
      <c r="G533" s="1" t="s">
        <v>112</v>
      </c>
      <c r="H533" s="1" t="s">
        <v>77</v>
      </c>
      <c r="I533" s="1" t="s">
        <v>139</v>
      </c>
      <c r="J533">
        <v>1252286</v>
      </c>
      <c r="K533">
        <v>1244501</v>
      </c>
      <c r="L533">
        <v>718</v>
      </c>
      <c r="M533" s="9">
        <v>5.7693806594000003E-4</v>
      </c>
      <c r="N533">
        <v>766929</v>
      </c>
      <c r="O533" s="9">
        <v>0.61625422558999998</v>
      </c>
      <c r="P533">
        <v>118636</v>
      </c>
      <c r="Q533" s="9">
        <v>9.5328167675000006E-2</v>
      </c>
      <c r="R533">
        <f>Telengana_Results_2024[[#This Row],[BJP votes]]-Telengana_Results_2024[[#This Row],[Max Votes Other Than BJP]]</f>
        <v>-648293</v>
      </c>
      <c r="S533" s="10">
        <f>Telengana_Results_2024[[#This Row],[BJP vote share]]-Telengana_Results_2024[[#This Row],[Max Vote share other than bjp ]]</f>
        <v>-0.52092605791500002</v>
      </c>
      <c r="T533">
        <v>1631952</v>
      </c>
      <c r="U533" s="8">
        <v>0.76735467710000005</v>
      </c>
      <c r="V533" s="1" t="s">
        <v>68</v>
      </c>
    </row>
    <row r="534" spans="1:22" x14ac:dyDescent="0.35">
      <c r="A534">
        <v>2024</v>
      </c>
      <c r="B534" s="1" t="s">
        <v>19</v>
      </c>
      <c r="C534" s="1" t="s">
        <v>1361</v>
      </c>
      <c r="D534" s="1" t="s">
        <v>1387</v>
      </c>
      <c r="E534" s="1" t="s">
        <v>21</v>
      </c>
      <c r="F534" s="1" t="s">
        <v>1388</v>
      </c>
      <c r="G534" s="1" t="s">
        <v>112</v>
      </c>
      <c r="H534" s="1" t="s">
        <v>53</v>
      </c>
      <c r="I534" s="1" t="s">
        <v>791</v>
      </c>
      <c r="J534">
        <v>1252286</v>
      </c>
      <c r="K534">
        <v>1244501</v>
      </c>
      <c r="L534">
        <v>700</v>
      </c>
      <c r="M534" s="9">
        <v>5.6247443755000001E-4</v>
      </c>
      <c r="N534">
        <v>766929</v>
      </c>
      <c r="O534" s="9">
        <v>0.61625422558999998</v>
      </c>
      <c r="P534">
        <v>118636</v>
      </c>
      <c r="Q534" s="9">
        <v>9.5328167675000006E-2</v>
      </c>
      <c r="R534">
        <f>Telengana_Results_2024[[#This Row],[BJP votes]]-Telengana_Results_2024[[#This Row],[Max Votes Other Than BJP]]</f>
        <v>-648293</v>
      </c>
      <c r="S534" s="10">
        <f>Telengana_Results_2024[[#This Row],[BJP vote share]]-Telengana_Results_2024[[#This Row],[Max Vote share other than bjp ]]</f>
        <v>-0.52092605791500002</v>
      </c>
      <c r="T534">
        <v>1631952</v>
      </c>
      <c r="U534" s="8">
        <v>0.76735467710000005</v>
      </c>
      <c r="V534" s="1" t="s">
        <v>68</v>
      </c>
    </row>
    <row r="535" spans="1:22" x14ac:dyDescent="0.35">
      <c r="A535">
        <v>2024</v>
      </c>
      <c r="B535" s="1" t="s">
        <v>19</v>
      </c>
      <c r="C535" s="1" t="s">
        <v>1361</v>
      </c>
      <c r="D535" s="1" t="s">
        <v>748</v>
      </c>
      <c r="E535" s="1" t="s">
        <v>21</v>
      </c>
      <c r="F535" s="1" t="s">
        <v>120</v>
      </c>
      <c r="G535" s="1" t="s">
        <v>112</v>
      </c>
      <c r="H535" s="1" t="s">
        <v>53</v>
      </c>
      <c r="I535" s="1" t="s">
        <v>749</v>
      </c>
      <c r="J535">
        <v>1252286</v>
      </c>
      <c r="K535">
        <v>1244501</v>
      </c>
      <c r="L535">
        <v>693</v>
      </c>
      <c r="M535" s="9">
        <v>5.5684969317000002E-4</v>
      </c>
      <c r="N535">
        <v>766929</v>
      </c>
      <c r="O535" s="9">
        <v>0.61625422558999998</v>
      </c>
      <c r="P535">
        <v>118636</v>
      </c>
      <c r="Q535" s="9">
        <v>9.5328167675000006E-2</v>
      </c>
      <c r="R535">
        <f>Telengana_Results_2024[[#This Row],[BJP votes]]-Telengana_Results_2024[[#This Row],[Max Votes Other Than BJP]]</f>
        <v>-648293</v>
      </c>
      <c r="S535" s="10">
        <f>Telengana_Results_2024[[#This Row],[BJP vote share]]-Telengana_Results_2024[[#This Row],[Max Vote share other than bjp ]]</f>
        <v>-0.52092605791500002</v>
      </c>
      <c r="T535">
        <v>1631952</v>
      </c>
      <c r="U535" s="8">
        <v>0.76735467710000005</v>
      </c>
      <c r="V535" s="1" t="s">
        <v>68</v>
      </c>
    </row>
    <row r="536" spans="1:22" x14ac:dyDescent="0.35">
      <c r="A536">
        <v>2024</v>
      </c>
      <c r="B536" s="1" t="s">
        <v>19</v>
      </c>
      <c r="C536" s="1" t="s">
        <v>1361</v>
      </c>
      <c r="D536" s="1" t="s">
        <v>1389</v>
      </c>
      <c r="E536" s="1" t="s">
        <v>21</v>
      </c>
      <c r="F536" s="1" t="s">
        <v>120</v>
      </c>
      <c r="G536" s="1" t="s">
        <v>67</v>
      </c>
      <c r="H536" s="1" t="s">
        <v>1096</v>
      </c>
      <c r="I536" s="1" t="s">
        <v>846</v>
      </c>
      <c r="J536">
        <v>1252286</v>
      </c>
      <c r="K536">
        <v>1244501</v>
      </c>
      <c r="L536">
        <v>661</v>
      </c>
      <c r="M536" s="9">
        <v>5.3113657603000004E-4</v>
      </c>
      <c r="N536">
        <v>766929</v>
      </c>
      <c r="O536" s="9">
        <v>0.61625422558999998</v>
      </c>
      <c r="P536">
        <v>118636</v>
      </c>
      <c r="Q536" s="9">
        <v>9.5328167675000006E-2</v>
      </c>
      <c r="R536">
        <f>Telengana_Results_2024[[#This Row],[BJP votes]]-Telengana_Results_2024[[#This Row],[Max Votes Other Than BJP]]</f>
        <v>-648293</v>
      </c>
      <c r="S536" s="10">
        <f>Telengana_Results_2024[[#This Row],[BJP vote share]]-Telengana_Results_2024[[#This Row],[Max Vote share other than bjp ]]</f>
        <v>-0.52092605791500002</v>
      </c>
      <c r="T536">
        <v>1631952</v>
      </c>
      <c r="U536" s="8">
        <v>0.76735467710000005</v>
      </c>
      <c r="V536" s="1" t="s">
        <v>68</v>
      </c>
    </row>
    <row r="537" spans="1:22" x14ac:dyDescent="0.35">
      <c r="A537">
        <v>2024</v>
      </c>
      <c r="B537" s="1" t="s">
        <v>19</v>
      </c>
      <c r="C537" s="1" t="s">
        <v>1361</v>
      </c>
      <c r="D537" s="1" t="s">
        <v>1390</v>
      </c>
      <c r="E537" s="1" t="s">
        <v>21</v>
      </c>
      <c r="F537" s="1" t="s">
        <v>71</v>
      </c>
      <c r="G537" s="1" t="s">
        <v>67</v>
      </c>
      <c r="H537" s="1" t="s">
        <v>927</v>
      </c>
      <c r="I537" s="1" t="s">
        <v>427</v>
      </c>
      <c r="J537">
        <v>1252286</v>
      </c>
      <c r="K537">
        <v>1244501</v>
      </c>
      <c r="L537">
        <v>616</v>
      </c>
      <c r="M537" s="9">
        <v>4.9497750504000002E-4</v>
      </c>
      <c r="N537">
        <v>766929</v>
      </c>
      <c r="O537" s="9">
        <v>0.61625422558999998</v>
      </c>
      <c r="P537">
        <v>118636</v>
      </c>
      <c r="Q537" s="9">
        <v>9.5328167675000006E-2</v>
      </c>
      <c r="R537">
        <f>Telengana_Results_2024[[#This Row],[BJP votes]]-Telengana_Results_2024[[#This Row],[Max Votes Other Than BJP]]</f>
        <v>-648293</v>
      </c>
      <c r="S537" s="10">
        <f>Telengana_Results_2024[[#This Row],[BJP vote share]]-Telengana_Results_2024[[#This Row],[Max Vote share other than bjp ]]</f>
        <v>-0.52092605791500002</v>
      </c>
      <c r="T537">
        <v>1631952</v>
      </c>
      <c r="U537" s="8">
        <v>0.76735467710000005</v>
      </c>
      <c r="V537" s="1" t="s">
        <v>68</v>
      </c>
    </row>
    <row r="538" spans="1:22" x14ac:dyDescent="0.35">
      <c r="A538">
        <v>2024</v>
      </c>
      <c r="B538" s="1" t="s">
        <v>19</v>
      </c>
      <c r="C538" s="1" t="s">
        <v>1361</v>
      </c>
      <c r="D538" s="1" t="s">
        <v>1391</v>
      </c>
      <c r="E538" s="1" t="s">
        <v>21</v>
      </c>
      <c r="F538" s="1" t="s">
        <v>36</v>
      </c>
      <c r="G538" s="1" t="s">
        <v>23</v>
      </c>
      <c r="H538" s="1" t="s">
        <v>53</v>
      </c>
      <c r="I538" s="1" t="s">
        <v>892</v>
      </c>
      <c r="J538">
        <v>1252286</v>
      </c>
      <c r="K538">
        <v>1244501</v>
      </c>
      <c r="L538">
        <v>601</v>
      </c>
      <c r="M538" s="9">
        <v>4.8292448138000002E-4</v>
      </c>
      <c r="N538">
        <v>766929</v>
      </c>
      <c r="O538" s="9">
        <v>0.61625422558999998</v>
      </c>
      <c r="P538">
        <v>118636</v>
      </c>
      <c r="Q538" s="9">
        <v>9.5328167675000006E-2</v>
      </c>
      <c r="R538">
        <f>Telengana_Results_2024[[#This Row],[BJP votes]]-Telengana_Results_2024[[#This Row],[Max Votes Other Than BJP]]</f>
        <v>-648293</v>
      </c>
      <c r="S538" s="10">
        <f>Telengana_Results_2024[[#This Row],[BJP vote share]]-Telengana_Results_2024[[#This Row],[Max Vote share other than bjp ]]</f>
        <v>-0.52092605791500002</v>
      </c>
      <c r="T538">
        <v>1631952</v>
      </c>
      <c r="U538" s="8">
        <v>0.76735467710000005</v>
      </c>
      <c r="V538" s="1" t="s">
        <v>68</v>
      </c>
    </row>
    <row r="539" spans="1:22" x14ac:dyDescent="0.35">
      <c r="A539">
        <v>2024</v>
      </c>
      <c r="B539" s="1" t="s">
        <v>19</v>
      </c>
      <c r="C539" s="1" t="s">
        <v>1361</v>
      </c>
      <c r="D539" s="1" t="s">
        <v>1392</v>
      </c>
      <c r="E539" s="1" t="s">
        <v>21</v>
      </c>
      <c r="F539" s="1" t="s">
        <v>71</v>
      </c>
      <c r="G539" s="1" t="s">
        <v>23</v>
      </c>
      <c r="H539" s="1" t="s">
        <v>53</v>
      </c>
      <c r="I539" s="1" t="s">
        <v>449</v>
      </c>
      <c r="J539">
        <v>1252286</v>
      </c>
      <c r="K539">
        <v>1244501</v>
      </c>
      <c r="L539">
        <v>508</v>
      </c>
      <c r="M539" s="9">
        <v>4.0819573467999997E-4</v>
      </c>
      <c r="N539">
        <v>766929</v>
      </c>
      <c r="O539" s="9">
        <v>0.61625422558999998</v>
      </c>
      <c r="P539">
        <v>118636</v>
      </c>
      <c r="Q539" s="9">
        <v>9.5328167675000006E-2</v>
      </c>
      <c r="R539">
        <f>Telengana_Results_2024[[#This Row],[BJP votes]]-Telengana_Results_2024[[#This Row],[Max Votes Other Than BJP]]</f>
        <v>-648293</v>
      </c>
      <c r="S539" s="10">
        <f>Telengana_Results_2024[[#This Row],[BJP vote share]]-Telengana_Results_2024[[#This Row],[Max Vote share other than bjp ]]</f>
        <v>-0.52092605791500002</v>
      </c>
      <c r="T539">
        <v>1631952</v>
      </c>
      <c r="U539" s="8">
        <v>0.76735467710000005</v>
      </c>
      <c r="V539" s="1" t="s">
        <v>68</v>
      </c>
    </row>
    <row r="540" spans="1:22" x14ac:dyDescent="0.35">
      <c r="A540">
        <v>2024</v>
      </c>
      <c r="B540" s="1" t="s">
        <v>19</v>
      </c>
      <c r="C540" s="1" t="s">
        <v>1361</v>
      </c>
      <c r="D540" s="1" t="s">
        <v>1393</v>
      </c>
      <c r="E540" s="1" t="s">
        <v>21</v>
      </c>
      <c r="F540" s="1" t="s">
        <v>44</v>
      </c>
      <c r="G540" s="1" t="s">
        <v>23</v>
      </c>
      <c r="H540" s="1" t="s">
        <v>1034</v>
      </c>
      <c r="I540" s="1" t="s">
        <v>167</v>
      </c>
      <c r="J540">
        <v>1252286</v>
      </c>
      <c r="K540">
        <v>1244501</v>
      </c>
      <c r="L540">
        <v>476</v>
      </c>
      <c r="M540" s="9">
        <v>3.8248261753000002E-4</v>
      </c>
      <c r="N540">
        <v>766929</v>
      </c>
      <c r="O540" s="9">
        <v>0.61625422558999998</v>
      </c>
      <c r="P540">
        <v>118636</v>
      </c>
      <c r="Q540" s="9">
        <v>9.5328167675000006E-2</v>
      </c>
      <c r="R540">
        <f>Telengana_Results_2024[[#This Row],[BJP votes]]-Telengana_Results_2024[[#This Row],[Max Votes Other Than BJP]]</f>
        <v>-648293</v>
      </c>
      <c r="S540" s="10">
        <f>Telengana_Results_2024[[#This Row],[BJP vote share]]-Telengana_Results_2024[[#This Row],[Max Vote share other than bjp ]]</f>
        <v>-0.52092605791500002</v>
      </c>
      <c r="T540">
        <v>1631952</v>
      </c>
      <c r="U540" s="8">
        <v>0.76735467710000005</v>
      </c>
      <c r="V540" s="1" t="s">
        <v>68</v>
      </c>
    </row>
    <row r="541" spans="1:22" x14ac:dyDescent="0.35">
      <c r="A541">
        <v>2024</v>
      </c>
      <c r="B541" s="1" t="s">
        <v>19</v>
      </c>
      <c r="C541" s="1" t="s">
        <v>1361</v>
      </c>
      <c r="D541" s="1" t="s">
        <v>746</v>
      </c>
      <c r="E541" s="1" t="s">
        <v>21</v>
      </c>
      <c r="F541" s="1" t="s">
        <v>48</v>
      </c>
      <c r="G541" s="1" t="s">
        <v>23</v>
      </c>
      <c r="H541" s="1" t="s">
        <v>53</v>
      </c>
      <c r="I541" s="1" t="s">
        <v>57</v>
      </c>
      <c r="J541">
        <v>1252286</v>
      </c>
      <c r="K541">
        <v>1244501</v>
      </c>
      <c r="L541">
        <v>368</v>
      </c>
      <c r="M541" s="9">
        <v>2.9570084716999998E-4</v>
      </c>
      <c r="N541">
        <v>766929</v>
      </c>
      <c r="O541" s="9">
        <v>0.61625422558999998</v>
      </c>
      <c r="P541">
        <v>118636</v>
      </c>
      <c r="Q541" s="9">
        <v>9.5328167675000006E-2</v>
      </c>
      <c r="R541">
        <f>Telengana_Results_2024[[#This Row],[BJP votes]]-Telengana_Results_2024[[#This Row],[Max Votes Other Than BJP]]</f>
        <v>-648293</v>
      </c>
      <c r="S541" s="10">
        <f>Telengana_Results_2024[[#This Row],[BJP vote share]]-Telengana_Results_2024[[#This Row],[Max Vote share other than bjp ]]</f>
        <v>-0.52092605791500002</v>
      </c>
      <c r="T541">
        <v>1631952</v>
      </c>
      <c r="U541" s="8">
        <v>0.76735467710000005</v>
      </c>
      <c r="V541" s="1" t="s">
        <v>68</v>
      </c>
    </row>
    <row r="542" spans="1:22" x14ac:dyDescent="0.35">
      <c r="A542">
        <v>2024</v>
      </c>
      <c r="B542" s="1" t="s">
        <v>19</v>
      </c>
      <c r="C542" s="1" t="s">
        <v>1361</v>
      </c>
      <c r="D542" s="1" t="s">
        <v>1394</v>
      </c>
      <c r="E542" s="1" t="s">
        <v>21</v>
      </c>
      <c r="F542" s="1" t="s">
        <v>104</v>
      </c>
      <c r="G542" s="1" t="s">
        <v>112</v>
      </c>
      <c r="H542" s="1" t="s">
        <v>53</v>
      </c>
      <c r="I542" s="1" t="s">
        <v>1395</v>
      </c>
      <c r="J542">
        <v>1252286</v>
      </c>
      <c r="K542">
        <v>1244501</v>
      </c>
      <c r="L542">
        <v>363</v>
      </c>
      <c r="M542" s="9">
        <v>2.9168317261000002E-4</v>
      </c>
      <c r="N542">
        <v>766929</v>
      </c>
      <c r="O542" s="9">
        <v>0.61625422558999998</v>
      </c>
      <c r="P542">
        <v>118636</v>
      </c>
      <c r="Q542" s="9">
        <v>9.5328167675000006E-2</v>
      </c>
      <c r="R542">
        <f>Telengana_Results_2024[[#This Row],[BJP votes]]-Telengana_Results_2024[[#This Row],[Max Votes Other Than BJP]]</f>
        <v>-648293</v>
      </c>
      <c r="S542" s="10">
        <f>Telengana_Results_2024[[#This Row],[BJP vote share]]-Telengana_Results_2024[[#This Row],[Max Vote share other than bjp ]]</f>
        <v>-0.52092605791500002</v>
      </c>
      <c r="T542">
        <v>1631952</v>
      </c>
      <c r="U542" s="8">
        <v>0.76735467710000005</v>
      </c>
      <c r="V542" s="1" t="s">
        <v>68</v>
      </c>
    </row>
    <row r="543" spans="1:22" x14ac:dyDescent="0.35">
      <c r="A543">
        <v>2024</v>
      </c>
      <c r="B543" s="1" t="s">
        <v>19</v>
      </c>
      <c r="C543" s="1" t="s">
        <v>1361</v>
      </c>
      <c r="D543" s="1" t="s">
        <v>759</v>
      </c>
      <c r="E543" s="1" t="s">
        <v>21</v>
      </c>
      <c r="F543" s="1" t="s">
        <v>36</v>
      </c>
      <c r="G543" s="1" t="s">
        <v>112</v>
      </c>
      <c r="H543" s="1" t="s">
        <v>53</v>
      </c>
      <c r="I543" s="1" t="s">
        <v>463</v>
      </c>
      <c r="J543">
        <v>1252286</v>
      </c>
      <c r="K543">
        <v>1244501</v>
      </c>
      <c r="L543">
        <v>351</v>
      </c>
      <c r="M543" s="9">
        <v>2.8204075367999998E-4</v>
      </c>
      <c r="N543">
        <v>766929</v>
      </c>
      <c r="O543" s="9">
        <v>0.61625422558999998</v>
      </c>
      <c r="P543">
        <v>118636</v>
      </c>
      <c r="Q543" s="9">
        <v>9.5328167675000006E-2</v>
      </c>
      <c r="R543">
        <f>Telengana_Results_2024[[#This Row],[BJP votes]]-Telengana_Results_2024[[#This Row],[Max Votes Other Than BJP]]</f>
        <v>-648293</v>
      </c>
      <c r="S543" s="10">
        <f>Telengana_Results_2024[[#This Row],[BJP vote share]]-Telengana_Results_2024[[#This Row],[Max Vote share other than bjp ]]</f>
        <v>-0.52092605791500002</v>
      </c>
      <c r="T543">
        <v>1631952</v>
      </c>
      <c r="U543" s="8">
        <v>0.76735467710000005</v>
      </c>
      <c r="V543" s="1" t="s">
        <v>68</v>
      </c>
    </row>
    <row r="544" spans="1:22" x14ac:dyDescent="0.35">
      <c r="B544" s="1"/>
      <c r="C544" s="1" t="s">
        <v>1407</v>
      </c>
      <c r="D544" s="1"/>
      <c r="E544" s="1"/>
      <c r="F544" s="1"/>
      <c r="G544" s="1"/>
      <c r="H544" s="1"/>
      <c r="I544" s="1"/>
      <c r="R544">
        <f>Telengana_Results_2024[[#This Row],[BJP votes]]-Telengana_Results_2024[[#This Row],[Max Votes Other Than BJP]]</f>
        <v>0</v>
      </c>
      <c r="S544" s="10">
        <f>Telengana_Results_2024[[#This Row],[BJP vote share]]-Telengana_Results_2024[[#This Row],[Max Vote share other than bjp ]]</f>
        <v>0</v>
      </c>
      <c r="V54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8C7E-3120-4092-83AA-2A402F023F67}">
  <dimension ref="A1:U461"/>
  <sheetViews>
    <sheetView topLeftCell="B14" workbookViewId="0">
      <selection activeCell="H14" sqref="H14"/>
    </sheetView>
  </sheetViews>
  <sheetFormatPr defaultRowHeight="14.5" x14ac:dyDescent="0.35"/>
  <cols>
    <col min="1" max="1" width="6.81640625" bestFit="1" customWidth="1"/>
    <col min="2" max="2" width="13.7265625" bestFit="1" customWidth="1"/>
    <col min="3" max="3" width="14.08984375" customWidth="1"/>
    <col min="4" max="4" width="39.36328125" bestFit="1" customWidth="1"/>
    <col min="5" max="6" width="7.453125" bestFit="1" customWidth="1"/>
    <col min="7" max="7" width="13" bestFit="1" customWidth="1"/>
    <col min="8" max="8" width="15" bestFit="1" customWidth="1"/>
    <col min="9" max="9" width="21.1796875" bestFit="1" customWidth="1"/>
    <col min="10" max="10" width="22.36328125" bestFit="1" customWidth="1"/>
    <col min="11" max="11" width="17.7265625" style="9" bestFit="1" customWidth="1"/>
    <col min="12" max="12" width="30.26953125" style="9" bestFit="1" customWidth="1"/>
    <col min="13" max="13" width="25.26953125" bestFit="1" customWidth="1"/>
    <col min="14" max="14" width="11.1796875" bestFit="1" customWidth="1"/>
    <col min="15" max="15" width="15.6328125" style="9" bestFit="1" customWidth="1"/>
    <col min="16" max="16" width="15.6328125" style="11" customWidth="1"/>
    <col min="17" max="17" width="15.6328125" style="9" customWidth="1"/>
    <col min="18" max="18" width="18.36328125" bestFit="1" customWidth="1"/>
    <col min="19" max="19" width="14.453125" bestFit="1" customWidth="1"/>
    <col min="20" max="20" width="19.26953125" style="10" customWidth="1"/>
    <col min="21" max="21" width="13.1796875" bestFit="1" customWidth="1"/>
  </cols>
  <sheetData>
    <row r="1" spans="1:21" x14ac:dyDescent="0.35">
      <c r="A1" t="s">
        <v>0</v>
      </c>
      <c r="B1" t="s">
        <v>1</v>
      </c>
      <c r="C1" t="s">
        <v>764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9" t="s">
        <v>9</v>
      </c>
      <c r="L1" s="9" t="s">
        <v>10</v>
      </c>
      <c r="M1" t="s">
        <v>11</v>
      </c>
      <c r="N1" t="s">
        <v>12</v>
      </c>
      <c r="O1" s="9" t="s">
        <v>13</v>
      </c>
      <c r="P1" s="11" t="s">
        <v>1402</v>
      </c>
      <c r="Q1" s="9" t="s">
        <v>1403</v>
      </c>
      <c r="R1" t="s">
        <v>14</v>
      </c>
      <c r="S1" t="s">
        <v>15</v>
      </c>
      <c r="T1" s="10" t="s">
        <v>16</v>
      </c>
      <c r="U1" t="s">
        <v>17</v>
      </c>
    </row>
    <row r="2" spans="1:21" x14ac:dyDescent="0.35">
      <c r="A2" s="1" t="s">
        <v>18</v>
      </c>
      <c r="B2" s="1" t="s">
        <v>19</v>
      </c>
      <c r="C2" s="1" t="s">
        <v>781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>
        <v>318814</v>
      </c>
      <c r="K2" s="9">
        <v>0.29971327311000001</v>
      </c>
      <c r="L2" s="9">
        <v>0.29971327311000001</v>
      </c>
      <c r="M2">
        <v>318814</v>
      </c>
      <c r="N2">
        <v>377374</v>
      </c>
      <c r="O2" s="9">
        <v>0.35476483693999999</v>
      </c>
      <c r="P2" s="11">
        <f>Telengana_Reaults_2019[[#This Row],[BJP Votes]]-Telengana_Reaults_2019[[#This Row],[Max Votes Other than BJP]]</f>
        <v>58560</v>
      </c>
      <c r="Q2" s="9">
        <f>Telengana_Reaults_2019[[#This Row],[BJP Vote Share]]-Telengana_Reaults_2019[[#This Row],[Max Votes Share other than BJP]]</f>
        <v>5.5051563829999983E-2</v>
      </c>
      <c r="R2">
        <v>1063730</v>
      </c>
      <c r="S2">
        <v>1489790</v>
      </c>
      <c r="T2" s="10">
        <v>0.71401338443999995</v>
      </c>
      <c r="U2" s="1" t="s">
        <v>26</v>
      </c>
    </row>
    <row r="3" spans="1:21" x14ac:dyDescent="0.35">
      <c r="A3" s="1" t="s">
        <v>18</v>
      </c>
      <c r="B3" s="1" t="s">
        <v>19</v>
      </c>
      <c r="C3" s="1" t="s">
        <v>781</v>
      </c>
      <c r="D3" s="1" t="s">
        <v>27</v>
      </c>
      <c r="E3" s="1" t="s">
        <v>21</v>
      </c>
      <c r="F3" s="1" t="s">
        <v>28</v>
      </c>
      <c r="G3" s="1" t="s">
        <v>23</v>
      </c>
      <c r="H3" s="1" t="s">
        <v>29</v>
      </c>
      <c r="I3" s="1" t="s">
        <v>30</v>
      </c>
      <c r="J3">
        <v>314238</v>
      </c>
      <c r="K3" s="9">
        <v>0.29541142959</v>
      </c>
      <c r="L3" s="9">
        <v>0.29971327311000001</v>
      </c>
      <c r="M3">
        <v>318814</v>
      </c>
      <c r="N3">
        <v>377374</v>
      </c>
      <c r="O3" s="9">
        <v>0.35476483693999999</v>
      </c>
      <c r="P3" s="11">
        <f>Telengana_Reaults_2019[[#This Row],[BJP Votes]]-Telengana_Reaults_2019[[#This Row],[Max Votes Other than BJP]]</f>
        <v>58560</v>
      </c>
      <c r="Q3" s="9">
        <f>Telengana_Reaults_2019[[#This Row],[BJP Vote Share]]-Telengana_Reaults_2019[[#This Row],[Max Votes Share other than BJP]]</f>
        <v>5.5051563829999983E-2</v>
      </c>
      <c r="R3">
        <v>1063730</v>
      </c>
      <c r="S3">
        <v>1489790</v>
      </c>
      <c r="T3" s="10">
        <v>0.71401338443999995</v>
      </c>
      <c r="U3" s="1" t="s">
        <v>26</v>
      </c>
    </row>
    <row r="4" spans="1:21" x14ac:dyDescent="0.35">
      <c r="A4" s="1" t="s">
        <v>18</v>
      </c>
      <c r="B4" s="1" t="s">
        <v>19</v>
      </c>
      <c r="C4" s="1" t="s">
        <v>781</v>
      </c>
      <c r="D4" s="1" t="s">
        <v>31</v>
      </c>
      <c r="E4" s="1" t="s">
        <v>21</v>
      </c>
      <c r="F4" s="1" t="s">
        <v>28</v>
      </c>
      <c r="G4" s="1" t="s">
        <v>23</v>
      </c>
      <c r="H4" s="1" t="s">
        <v>32</v>
      </c>
      <c r="I4" s="1" t="s">
        <v>33</v>
      </c>
      <c r="J4">
        <v>377374</v>
      </c>
      <c r="K4" s="9">
        <v>0.35476483693999999</v>
      </c>
      <c r="L4" s="9">
        <v>0.29971327311000001</v>
      </c>
      <c r="M4">
        <v>318814</v>
      </c>
      <c r="N4">
        <v>377374</v>
      </c>
      <c r="O4" s="9">
        <v>0.35476483693999999</v>
      </c>
      <c r="P4" s="11">
        <f>Telengana_Reaults_2019[[#This Row],[BJP Votes]]-Telengana_Reaults_2019[[#This Row],[Max Votes Other than BJP]]</f>
        <v>58560</v>
      </c>
      <c r="Q4" s="9">
        <f>Telengana_Reaults_2019[[#This Row],[BJP Vote Share]]-Telengana_Reaults_2019[[#This Row],[Max Votes Share other than BJP]]</f>
        <v>5.5051563829999983E-2</v>
      </c>
      <c r="R4">
        <v>1063730</v>
      </c>
      <c r="S4">
        <v>1489790</v>
      </c>
      <c r="T4" s="10">
        <v>0.71401338443999995</v>
      </c>
      <c r="U4" s="1" t="s">
        <v>26</v>
      </c>
    </row>
    <row r="5" spans="1:21" x14ac:dyDescent="0.35">
      <c r="A5" s="1" t="s">
        <v>18</v>
      </c>
      <c r="B5" s="1" t="s">
        <v>19</v>
      </c>
      <c r="C5" s="1" t="s">
        <v>781</v>
      </c>
      <c r="D5" s="1" t="s">
        <v>34</v>
      </c>
      <c r="E5" s="1" t="s">
        <v>35</v>
      </c>
      <c r="F5" s="1" t="s">
        <v>36</v>
      </c>
      <c r="G5" s="1" t="s">
        <v>23</v>
      </c>
      <c r="H5" s="1" t="s">
        <v>37</v>
      </c>
      <c r="I5" s="1" t="s">
        <v>38</v>
      </c>
      <c r="J5">
        <v>8007</v>
      </c>
      <c r="K5" s="9">
        <v>7.5272860593999999E-3</v>
      </c>
      <c r="L5" s="9">
        <v>0.29971327311000001</v>
      </c>
      <c r="M5">
        <v>318814</v>
      </c>
      <c r="N5">
        <v>377374</v>
      </c>
      <c r="O5" s="9">
        <v>0.35476483693999999</v>
      </c>
      <c r="P5" s="11">
        <f>Telengana_Reaults_2019[[#This Row],[BJP Votes]]-Telengana_Reaults_2019[[#This Row],[Max Votes Other than BJP]]</f>
        <v>58560</v>
      </c>
      <c r="Q5" s="9">
        <f>Telengana_Reaults_2019[[#This Row],[BJP Vote Share]]-Telengana_Reaults_2019[[#This Row],[Max Votes Share other than BJP]]</f>
        <v>5.5051563829999983E-2</v>
      </c>
      <c r="R5">
        <v>1063730</v>
      </c>
      <c r="S5">
        <v>1489790</v>
      </c>
      <c r="T5" s="10">
        <v>0.71401338443999995</v>
      </c>
      <c r="U5" s="1" t="s">
        <v>26</v>
      </c>
    </row>
    <row r="6" spans="1:21" x14ac:dyDescent="0.35">
      <c r="A6" s="1" t="s">
        <v>18</v>
      </c>
      <c r="B6" s="1" t="s">
        <v>19</v>
      </c>
      <c r="C6" s="1" t="s">
        <v>781</v>
      </c>
      <c r="D6" s="1" t="s">
        <v>39</v>
      </c>
      <c r="E6" s="1" t="s">
        <v>21</v>
      </c>
      <c r="F6" s="1" t="s">
        <v>40</v>
      </c>
      <c r="G6" s="1" t="s">
        <v>23</v>
      </c>
      <c r="H6" s="1" t="s">
        <v>41</v>
      </c>
      <c r="I6" s="1" t="s">
        <v>42</v>
      </c>
      <c r="J6">
        <v>5241</v>
      </c>
      <c r="K6" s="9">
        <v>4.9270021527999999E-3</v>
      </c>
      <c r="L6" s="9">
        <v>0.29971327311000001</v>
      </c>
      <c r="M6">
        <v>318814</v>
      </c>
      <c r="N6">
        <v>377374</v>
      </c>
      <c r="O6" s="9">
        <v>0.35476483693999999</v>
      </c>
      <c r="P6" s="11">
        <f>Telengana_Reaults_2019[[#This Row],[BJP Votes]]-Telengana_Reaults_2019[[#This Row],[Max Votes Other than BJP]]</f>
        <v>58560</v>
      </c>
      <c r="Q6" s="9">
        <f>Telengana_Reaults_2019[[#This Row],[BJP Vote Share]]-Telengana_Reaults_2019[[#This Row],[Max Votes Share other than BJP]]</f>
        <v>5.5051563829999983E-2</v>
      </c>
      <c r="R6">
        <v>1063730</v>
      </c>
      <c r="S6">
        <v>1489790</v>
      </c>
      <c r="T6" s="10">
        <v>0.71401338443999995</v>
      </c>
      <c r="U6" s="1" t="s">
        <v>26</v>
      </c>
    </row>
    <row r="7" spans="1:21" x14ac:dyDescent="0.35">
      <c r="A7" s="1" t="s">
        <v>18</v>
      </c>
      <c r="B7" s="1" t="s">
        <v>19</v>
      </c>
      <c r="C7" s="1" t="s">
        <v>781</v>
      </c>
      <c r="D7" s="1" t="s">
        <v>43</v>
      </c>
      <c r="E7" s="1" t="s">
        <v>21</v>
      </c>
      <c r="F7" s="1" t="s">
        <v>44</v>
      </c>
      <c r="G7" s="1" t="s">
        <v>23</v>
      </c>
      <c r="H7" s="1" t="s">
        <v>45</v>
      </c>
      <c r="I7" s="1" t="s">
        <v>46</v>
      </c>
      <c r="J7">
        <v>2705</v>
      </c>
      <c r="K7" s="9">
        <v>2.5429385275999999E-3</v>
      </c>
      <c r="L7" s="9">
        <v>0.29971327311000001</v>
      </c>
      <c r="M7">
        <v>318814</v>
      </c>
      <c r="N7">
        <v>377374</v>
      </c>
      <c r="O7" s="9">
        <v>0.35476483693999999</v>
      </c>
      <c r="P7" s="11">
        <f>Telengana_Reaults_2019[[#This Row],[BJP Votes]]-Telengana_Reaults_2019[[#This Row],[Max Votes Other than BJP]]</f>
        <v>58560</v>
      </c>
      <c r="Q7" s="9">
        <f>Telengana_Reaults_2019[[#This Row],[BJP Vote Share]]-Telengana_Reaults_2019[[#This Row],[Max Votes Share other than BJP]]</f>
        <v>5.5051563829999983E-2</v>
      </c>
      <c r="R7">
        <v>1063730</v>
      </c>
      <c r="S7">
        <v>1489790</v>
      </c>
      <c r="T7" s="10">
        <v>0.71401338443999995</v>
      </c>
      <c r="U7" s="1" t="s">
        <v>26</v>
      </c>
    </row>
    <row r="8" spans="1:21" x14ac:dyDescent="0.35">
      <c r="A8" s="1" t="s">
        <v>18</v>
      </c>
      <c r="B8" s="1" t="s">
        <v>19</v>
      </c>
      <c r="C8" s="1" t="s">
        <v>781</v>
      </c>
      <c r="D8" s="1" t="s">
        <v>47</v>
      </c>
      <c r="E8" s="1" t="s">
        <v>21</v>
      </c>
      <c r="F8" s="1" t="s">
        <v>48</v>
      </c>
      <c r="G8" s="1" t="s">
        <v>23</v>
      </c>
      <c r="H8" s="1" t="s">
        <v>49</v>
      </c>
      <c r="I8" s="1" t="s">
        <v>50</v>
      </c>
      <c r="J8">
        <v>6837</v>
      </c>
      <c r="K8" s="9">
        <v>6.4273828884999998E-3</v>
      </c>
      <c r="L8" s="9">
        <v>0.29971327311000001</v>
      </c>
      <c r="M8">
        <v>318814</v>
      </c>
      <c r="N8">
        <v>377374</v>
      </c>
      <c r="O8" s="9">
        <v>0.35476483693999999</v>
      </c>
      <c r="P8" s="11">
        <f>Telengana_Reaults_2019[[#This Row],[BJP Votes]]-Telengana_Reaults_2019[[#This Row],[Max Votes Other than BJP]]</f>
        <v>58560</v>
      </c>
      <c r="Q8" s="9">
        <f>Telengana_Reaults_2019[[#This Row],[BJP Vote Share]]-Telengana_Reaults_2019[[#This Row],[Max Votes Share other than BJP]]</f>
        <v>5.5051563829999983E-2</v>
      </c>
      <c r="R8">
        <v>1063730</v>
      </c>
      <c r="S8">
        <v>1489790</v>
      </c>
      <c r="T8" s="10">
        <v>0.71401338443999995</v>
      </c>
      <c r="U8" s="1" t="s">
        <v>26</v>
      </c>
    </row>
    <row r="9" spans="1:21" x14ac:dyDescent="0.35">
      <c r="A9" s="1" t="s">
        <v>18</v>
      </c>
      <c r="B9" s="1" t="s">
        <v>19</v>
      </c>
      <c r="C9" s="1" t="s">
        <v>781</v>
      </c>
      <c r="D9" s="1" t="s">
        <v>51</v>
      </c>
      <c r="E9" s="1" t="s">
        <v>21</v>
      </c>
      <c r="F9" s="1" t="s">
        <v>52</v>
      </c>
      <c r="G9" s="1" t="s">
        <v>23</v>
      </c>
      <c r="H9" s="1" t="s">
        <v>53</v>
      </c>
      <c r="I9" s="1" t="s">
        <v>54</v>
      </c>
      <c r="J9">
        <v>3019</v>
      </c>
      <c r="K9" s="9">
        <v>2.8381262162E-3</v>
      </c>
      <c r="L9" s="9">
        <v>0.29971327311000001</v>
      </c>
      <c r="M9">
        <v>318814</v>
      </c>
      <c r="N9">
        <v>377374</v>
      </c>
      <c r="O9" s="9">
        <v>0.35476483693999999</v>
      </c>
      <c r="P9" s="11">
        <f>Telengana_Reaults_2019[[#This Row],[BJP Votes]]-Telengana_Reaults_2019[[#This Row],[Max Votes Other than BJP]]</f>
        <v>58560</v>
      </c>
      <c r="Q9" s="9">
        <f>Telengana_Reaults_2019[[#This Row],[BJP Vote Share]]-Telengana_Reaults_2019[[#This Row],[Max Votes Share other than BJP]]</f>
        <v>5.5051563829999983E-2</v>
      </c>
      <c r="R9">
        <v>1063730</v>
      </c>
      <c r="S9">
        <v>1489790</v>
      </c>
      <c r="T9" s="10">
        <v>0.71401338443999995</v>
      </c>
      <c r="U9" s="1" t="s">
        <v>26</v>
      </c>
    </row>
    <row r="10" spans="1:21" x14ac:dyDescent="0.35">
      <c r="A10" s="1" t="s">
        <v>18</v>
      </c>
      <c r="B10" s="1" t="s">
        <v>19</v>
      </c>
      <c r="C10" s="1" t="s">
        <v>781</v>
      </c>
      <c r="D10" s="1" t="s">
        <v>55</v>
      </c>
      <c r="E10" s="1" t="s">
        <v>21</v>
      </c>
      <c r="F10" s="1" t="s">
        <v>56</v>
      </c>
      <c r="G10" s="1" t="s">
        <v>23</v>
      </c>
      <c r="H10" s="1" t="s">
        <v>53</v>
      </c>
      <c r="I10" s="1" t="s">
        <v>57</v>
      </c>
      <c r="J10">
        <v>4388</v>
      </c>
      <c r="K10" s="9">
        <v>4.1251069350000001E-3</v>
      </c>
      <c r="L10" s="9">
        <v>0.29971327311000001</v>
      </c>
      <c r="M10">
        <v>318814</v>
      </c>
      <c r="N10">
        <v>377374</v>
      </c>
      <c r="O10" s="9">
        <v>0.35476483693999999</v>
      </c>
      <c r="P10" s="11">
        <f>Telengana_Reaults_2019[[#This Row],[BJP Votes]]-Telengana_Reaults_2019[[#This Row],[Max Votes Other than BJP]]</f>
        <v>58560</v>
      </c>
      <c r="Q10" s="9">
        <f>Telengana_Reaults_2019[[#This Row],[BJP Vote Share]]-Telengana_Reaults_2019[[#This Row],[Max Votes Share other than BJP]]</f>
        <v>5.5051563829999983E-2</v>
      </c>
      <c r="R10">
        <v>1063730</v>
      </c>
      <c r="S10">
        <v>1489790</v>
      </c>
      <c r="T10" s="10">
        <v>0.71401338443999995</v>
      </c>
      <c r="U10" s="1" t="s">
        <v>26</v>
      </c>
    </row>
    <row r="11" spans="1:21" x14ac:dyDescent="0.35">
      <c r="A11" s="1" t="s">
        <v>18</v>
      </c>
      <c r="B11" s="1" t="s">
        <v>19</v>
      </c>
      <c r="C11" s="1" t="s">
        <v>781</v>
      </c>
      <c r="D11" s="1" t="s">
        <v>58</v>
      </c>
      <c r="E11" s="1" t="s">
        <v>21</v>
      </c>
      <c r="F11" s="1" t="s">
        <v>59</v>
      </c>
      <c r="G11" s="1" t="s">
        <v>23</v>
      </c>
      <c r="H11" s="1" t="s">
        <v>53</v>
      </c>
      <c r="I11" s="1" t="s">
        <v>60</v>
      </c>
      <c r="J11">
        <v>4548</v>
      </c>
      <c r="K11" s="9">
        <v>4.2755210439E-3</v>
      </c>
      <c r="L11" s="9">
        <v>0.29971327311000001</v>
      </c>
      <c r="M11">
        <v>318814</v>
      </c>
      <c r="N11">
        <v>377374</v>
      </c>
      <c r="O11" s="9">
        <v>0.35476483693999999</v>
      </c>
      <c r="P11" s="11">
        <f>Telengana_Reaults_2019[[#This Row],[BJP Votes]]-Telengana_Reaults_2019[[#This Row],[Max Votes Other than BJP]]</f>
        <v>58560</v>
      </c>
      <c r="Q11" s="9">
        <f>Telengana_Reaults_2019[[#This Row],[BJP Vote Share]]-Telengana_Reaults_2019[[#This Row],[Max Votes Share other than BJP]]</f>
        <v>5.5051563829999983E-2</v>
      </c>
      <c r="R11">
        <v>1063730</v>
      </c>
      <c r="S11">
        <v>1489790</v>
      </c>
      <c r="T11" s="10">
        <v>0.71401338443999995</v>
      </c>
      <c r="U11" s="1" t="s">
        <v>26</v>
      </c>
    </row>
    <row r="12" spans="1:21" x14ac:dyDescent="0.35">
      <c r="A12" s="1" t="s">
        <v>18</v>
      </c>
      <c r="B12" s="1" t="s">
        <v>19</v>
      </c>
      <c r="C12" s="1" t="s">
        <v>781</v>
      </c>
      <c r="D12" s="1" t="s">
        <v>61</v>
      </c>
      <c r="E12" s="1" t="s">
        <v>21</v>
      </c>
      <c r="F12" s="1" t="s">
        <v>62</v>
      </c>
      <c r="G12" s="1" t="s">
        <v>23</v>
      </c>
      <c r="H12" s="1" t="s">
        <v>53</v>
      </c>
      <c r="I12" s="1" t="s">
        <v>63</v>
      </c>
      <c r="J12">
        <v>5523</v>
      </c>
      <c r="K12" s="9">
        <v>5.1921070196000001E-3</v>
      </c>
      <c r="L12" s="9">
        <v>0.29971327311000001</v>
      </c>
      <c r="M12">
        <v>318814</v>
      </c>
      <c r="N12">
        <v>377374</v>
      </c>
      <c r="O12" s="9">
        <v>0.35476483693999999</v>
      </c>
      <c r="P12" s="11">
        <f>Telengana_Reaults_2019[[#This Row],[BJP Votes]]-Telengana_Reaults_2019[[#This Row],[Max Votes Other than BJP]]</f>
        <v>58560</v>
      </c>
      <c r="Q12" s="9">
        <f>Telengana_Reaults_2019[[#This Row],[BJP Vote Share]]-Telengana_Reaults_2019[[#This Row],[Max Votes Share other than BJP]]</f>
        <v>5.5051563829999983E-2</v>
      </c>
      <c r="R12">
        <v>1063730</v>
      </c>
      <c r="S12">
        <v>1489790</v>
      </c>
      <c r="T12" s="10">
        <v>0.71401338443999995</v>
      </c>
      <c r="U12" s="1" t="s">
        <v>26</v>
      </c>
    </row>
    <row r="13" spans="1:21" x14ac:dyDescent="0.35">
      <c r="A13" s="1" t="s">
        <v>18</v>
      </c>
      <c r="B13" s="1" t="s">
        <v>19</v>
      </c>
      <c r="C13" s="1" t="s">
        <v>781</v>
      </c>
      <c r="D13" s="1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>
        <v>13036</v>
      </c>
      <c r="K13" s="9">
        <v>1.2254989518E-2</v>
      </c>
      <c r="L13" s="9">
        <v>0.29971327311000001</v>
      </c>
      <c r="M13">
        <v>318814</v>
      </c>
      <c r="N13">
        <v>377374</v>
      </c>
      <c r="O13" s="9">
        <v>0.35476483693999999</v>
      </c>
      <c r="P13" s="11">
        <f>Telengana_Reaults_2019[[#This Row],[BJP Votes]]-Telengana_Reaults_2019[[#This Row],[Max Votes Other than BJP]]</f>
        <v>58560</v>
      </c>
      <c r="Q13" s="9">
        <f>Telengana_Reaults_2019[[#This Row],[BJP Vote Share]]-Telengana_Reaults_2019[[#This Row],[Max Votes Share other than BJP]]</f>
        <v>5.5051563829999983E-2</v>
      </c>
      <c r="R13">
        <v>1063730</v>
      </c>
      <c r="S13">
        <v>1489790</v>
      </c>
      <c r="T13" s="10">
        <v>0.71401338443999995</v>
      </c>
      <c r="U13" s="1" t="s">
        <v>26</v>
      </c>
    </row>
    <row r="14" spans="1:21" x14ac:dyDescent="0.35">
      <c r="A14" s="1" t="s">
        <v>18</v>
      </c>
      <c r="B14" s="1" t="s">
        <v>19</v>
      </c>
      <c r="C14" s="1" t="s">
        <v>805</v>
      </c>
      <c r="D14" s="1" t="s">
        <v>65</v>
      </c>
      <c r="E14" s="1" t="s">
        <v>21</v>
      </c>
      <c r="F14" s="1" t="s">
        <v>66</v>
      </c>
      <c r="G14" s="1" t="s">
        <v>67</v>
      </c>
      <c r="H14" s="1" t="s">
        <v>29</v>
      </c>
      <c r="I14" s="1" t="s">
        <v>30</v>
      </c>
      <c r="J14">
        <v>346141</v>
      </c>
      <c r="K14" s="9">
        <v>0.35682763071000001</v>
      </c>
      <c r="L14" s="9">
        <v>0.45494618324000002</v>
      </c>
      <c r="M14">
        <v>441321</v>
      </c>
      <c r="N14">
        <v>92606</v>
      </c>
      <c r="O14" s="9">
        <v>9.5465083795000003E-2</v>
      </c>
      <c r="P14" s="11">
        <f>Telengana_Reaults_2019[[#This Row],[BJP Votes]]-Telengana_Reaults_2019[[#This Row],[Max Votes Other than BJP]]</f>
        <v>-348715</v>
      </c>
      <c r="Q14" s="9">
        <f>Telengana_Reaults_2019[[#This Row],[BJP Vote Share]]-Telengana_Reaults_2019[[#This Row],[Max Votes Share other than BJP]]</f>
        <v>-0.35948109944500001</v>
      </c>
      <c r="R14">
        <v>970051</v>
      </c>
      <c r="S14">
        <v>1479091</v>
      </c>
      <c r="T14" s="10">
        <v>0.65584267635000004</v>
      </c>
      <c r="U14" s="1" t="s">
        <v>68</v>
      </c>
    </row>
    <row r="15" spans="1:21" x14ac:dyDescent="0.35">
      <c r="A15" s="1" t="s">
        <v>18</v>
      </c>
      <c r="B15" s="1" t="s">
        <v>19</v>
      </c>
      <c r="C15" s="1" t="s">
        <v>805</v>
      </c>
      <c r="D15" s="1" t="s">
        <v>69</v>
      </c>
      <c r="E15" s="1" t="s">
        <v>21</v>
      </c>
      <c r="F15" s="1" t="s">
        <v>28</v>
      </c>
      <c r="G15" s="1" t="s">
        <v>67</v>
      </c>
      <c r="H15" s="1" t="s">
        <v>32</v>
      </c>
      <c r="I15" s="1" t="s">
        <v>33</v>
      </c>
      <c r="J15">
        <v>92606</v>
      </c>
      <c r="K15" s="9">
        <v>9.5465083795000003E-2</v>
      </c>
      <c r="L15" s="9">
        <v>0.45494618324000002</v>
      </c>
      <c r="M15">
        <v>441321</v>
      </c>
      <c r="N15">
        <v>92606</v>
      </c>
      <c r="O15" s="9">
        <v>9.5465083795000003E-2</v>
      </c>
      <c r="P15" s="11">
        <f>Telengana_Reaults_2019[[#This Row],[BJP Votes]]-Telengana_Reaults_2019[[#This Row],[Max Votes Other than BJP]]</f>
        <v>-348715</v>
      </c>
      <c r="Q15" s="9">
        <f>Telengana_Reaults_2019[[#This Row],[BJP Vote Share]]-Telengana_Reaults_2019[[#This Row],[Max Votes Share other than BJP]]</f>
        <v>-0.35948109944500001</v>
      </c>
      <c r="R15">
        <v>970051</v>
      </c>
      <c r="S15">
        <v>1479091</v>
      </c>
      <c r="T15" s="10">
        <v>0.65584267635000004</v>
      </c>
      <c r="U15" s="1" t="s">
        <v>68</v>
      </c>
    </row>
    <row r="16" spans="1:21" x14ac:dyDescent="0.35">
      <c r="A16" s="1" t="s">
        <v>18</v>
      </c>
      <c r="B16" s="1" t="s">
        <v>19</v>
      </c>
      <c r="C16" s="1" t="s">
        <v>805</v>
      </c>
      <c r="D16" s="1" t="s">
        <v>70</v>
      </c>
      <c r="E16" s="1" t="s">
        <v>21</v>
      </c>
      <c r="F16" s="1" t="s">
        <v>71</v>
      </c>
      <c r="G16" s="1" t="s">
        <v>67</v>
      </c>
      <c r="H16" s="1" t="s">
        <v>72</v>
      </c>
      <c r="I16" s="1" t="s">
        <v>73</v>
      </c>
      <c r="J16">
        <v>10203</v>
      </c>
      <c r="K16" s="9">
        <v>1.0518003693000001E-2</v>
      </c>
      <c r="L16" s="9">
        <v>0.45494618324000002</v>
      </c>
      <c r="M16">
        <v>441321</v>
      </c>
      <c r="N16">
        <v>92606</v>
      </c>
      <c r="O16" s="9">
        <v>9.5465083795000003E-2</v>
      </c>
      <c r="P16" s="11">
        <f>Telengana_Reaults_2019[[#This Row],[BJP Votes]]-Telengana_Reaults_2019[[#This Row],[Max Votes Other than BJP]]</f>
        <v>-348715</v>
      </c>
      <c r="Q16" s="9">
        <f>Telengana_Reaults_2019[[#This Row],[BJP Vote Share]]-Telengana_Reaults_2019[[#This Row],[Max Votes Share other than BJP]]</f>
        <v>-0.35948109944500001</v>
      </c>
      <c r="R16">
        <v>970051</v>
      </c>
      <c r="S16">
        <v>1479091</v>
      </c>
      <c r="T16" s="10">
        <v>0.65584267635000004</v>
      </c>
      <c r="U16" s="1" t="s">
        <v>68</v>
      </c>
    </row>
    <row r="17" spans="1:21" x14ac:dyDescent="0.35">
      <c r="A17" s="1" t="s">
        <v>18</v>
      </c>
      <c r="B17" s="1" t="s">
        <v>19</v>
      </c>
      <c r="C17" s="1" t="s">
        <v>805</v>
      </c>
      <c r="D17" s="1" t="s">
        <v>74</v>
      </c>
      <c r="E17" s="1" t="s">
        <v>21</v>
      </c>
      <c r="F17" s="1" t="s">
        <v>75</v>
      </c>
      <c r="G17" s="1" t="s">
        <v>67</v>
      </c>
      <c r="H17" s="1" t="s">
        <v>24</v>
      </c>
      <c r="I17" s="1" t="s">
        <v>25</v>
      </c>
      <c r="J17">
        <v>441321</v>
      </c>
      <c r="K17" s="9">
        <v>0.45494618324000002</v>
      </c>
      <c r="L17" s="9">
        <v>0.45494618324000002</v>
      </c>
      <c r="M17">
        <v>441321</v>
      </c>
      <c r="N17">
        <v>92606</v>
      </c>
      <c r="O17" s="9">
        <v>9.5465083795000003E-2</v>
      </c>
      <c r="P17" s="11">
        <f>Telengana_Reaults_2019[[#This Row],[BJP Votes]]-Telengana_Reaults_2019[[#This Row],[Max Votes Other than BJP]]</f>
        <v>-348715</v>
      </c>
      <c r="Q17" s="9">
        <f>Telengana_Reaults_2019[[#This Row],[BJP Vote Share]]-Telengana_Reaults_2019[[#This Row],[Max Votes Share other than BJP]]</f>
        <v>-0.35948109944500001</v>
      </c>
      <c r="R17">
        <v>970051</v>
      </c>
      <c r="S17">
        <v>1479091</v>
      </c>
      <c r="T17" s="10">
        <v>0.65584267635000004</v>
      </c>
      <c r="U17" s="1" t="s">
        <v>68</v>
      </c>
    </row>
    <row r="18" spans="1:21" x14ac:dyDescent="0.35">
      <c r="A18" s="1" t="s">
        <v>18</v>
      </c>
      <c r="B18" s="1" t="s">
        <v>19</v>
      </c>
      <c r="C18" s="1" t="s">
        <v>805</v>
      </c>
      <c r="D18" s="1" t="s">
        <v>76</v>
      </c>
      <c r="E18" s="1" t="s">
        <v>35</v>
      </c>
      <c r="F18" s="1" t="s">
        <v>40</v>
      </c>
      <c r="G18" s="1" t="s">
        <v>67</v>
      </c>
      <c r="H18" s="1" t="s">
        <v>77</v>
      </c>
      <c r="I18" s="1" t="s">
        <v>78</v>
      </c>
      <c r="J18">
        <v>4055</v>
      </c>
      <c r="K18" s="9">
        <v>4.1801925877999998E-3</v>
      </c>
      <c r="L18" s="9">
        <v>0.45494618324000002</v>
      </c>
      <c r="M18">
        <v>441321</v>
      </c>
      <c r="N18">
        <v>92606</v>
      </c>
      <c r="O18" s="9">
        <v>9.5465083795000003E-2</v>
      </c>
      <c r="P18" s="11">
        <f>Telengana_Reaults_2019[[#This Row],[BJP Votes]]-Telengana_Reaults_2019[[#This Row],[Max Votes Other than BJP]]</f>
        <v>-348715</v>
      </c>
      <c r="Q18" s="9">
        <f>Telengana_Reaults_2019[[#This Row],[BJP Vote Share]]-Telengana_Reaults_2019[[#This Row],[Max Votes Share other than BJP]]</f>
        <v>-0.35948109944500001</v>
      </c>
      <c r="R18">
        <v>970051</v>
      </c>
      <c r="S18">
        <v>1479091</v>
      </c>
      <c r="T18" s="10">
        <v>0.65584267635000004</v>
      </c>
      <c r="U18" s="1" t="s">
        <v>68</v>
      </c>
    </row>
    <row r="19" spans="1:21" x14ac:dyDescent="0.35">
      <c r="A19" s="1" t="s">
        <v>18</v>
      </c>
      <c r="B19" s="1" t="s">
        <v>19</v>
      </c>
      <c r="C19" s="1" t="s">
        <v>805</v>
      </c>
      <c r="D19" s="1" t="s">
        <v>79</v>
      </c>
      <c r="E19" s="1" t="s">
        <v>21</v>
      </c>
      <c r="F19" s="1" t="s">
        <v>80</v>
      </c>
      <c r="G19" s="1" t="s">
        <v>67</v>
      </c>
      <c r="H19" s="1" t="s">
        <v>81</v>
      </c>
      <c r="I19" s="1" t="s">
        <v>82</v>
      </c>
      <c r="J19">
        <v>3501</v>
      </c>
      <c r="K19" s="9">
        <v>3.6090885943000002E-3</v>
      </c>
      <c r="L19" s="9">
        <v>0.45494618324000002</v>
      </c>
      <c r="M19">
        <v>441321</v>
      </c>
      <c r="N19">
        <v>92606</v>
      </c>
      <c r="O19" s="9">
        <v>9.5465083795000003E-2</v>
      </c>
      <c r="P19" s="11">
        <f>Telengana_Reaults_2019[[#This Row],[BJP Votes]]-Telengana_Reaults_2019[[#This Row],[Max Votes Other than BJP]]</f>
        <v>-348715</v>
      </c>
      <c r="Q19" s="9">
        <f>Telengana_Reaults_2019[[#This Row],[BJP Vote Share]]-Telengana_Reaults_2019[[#This Row],[Max Votes Share other than BJP]]</f>
        <v>-0.35948109944500001</v>
      </c>
      <c r="R19">
        <v>970051</v>
      </c>
      <c r="S19">
        <v>1479091</v>
      </c>
      <c r="T19" s="10">
        <v>0.65584267635000004</v>
      </c>
      <c r="U19" s="1" t="s">
        <v>68</v>
      </c>
    </row>
    <row r="20" spans="1:21" x14ac:dyDescent="0.35">
      <c r="A20" s="1" t="s">
        <v>18</v>
      </c>
      <c r="B20" s="1" t="s">
        <v>19</v>
      </c>
      <c r="C20" s="1" t="s">
        <v>805</v>
      </c>
      <c r="D20" s="1" t="s">
        <v>83</v>
      </c>
      <c r="E20" s="1" t="s">
        <v>21</v>
      </c>
      <c r="F20" s="1" t="s">
        <v>75</v>
      </c>
      <c r="G20" s="1" t="s">
        <v>67</v>
      </c>
      <c r="H20" s="1" t="s">
        <v>84</v>
      </c>
      <c r="I20" s="1" t="s">
        <v>85</v>
      </c>
      <c r="J20">
        <v>1965</v>
      </c>
      <c r="K20" s="9">
        <v>2.0256666917999998E-3</v>
      </c>
      <c r="L20" s="9">
        <v>0.45494618324000002</v>
      </c>
      <c r="M20">
        <v>441321</v>
      </c>
      <c r="N20">
        <v>92606</v>
      </c>
      <c r="O20" s="9">
        <v>9.5465083795000003E-2</v>
      </c>
      <c r="P20" s="11">
        <f>Telengana_Reaults_2019[[#This Row],[BJP Votes]]-Telengana_Reaults_2019[[#This Row],[Max Votes Other than BJP]]</f>
        <v>-348715</v>
      </c>
      <c r="Q20" s="9">
        <f>Telengana_Reaults_2019[[#This Row],[BJP Vote Share]]-Telengana_Reaults_2019[[#This Row],[Max Votes Share other than BJP]]</f>
        <v>-0.35948109944500001</v>
      </c>
      <c r="R20">
        <v>970051</v>
      </c>
      <c r="S20">
        <v>1479091</v>
      </c>
      <c r="T20" s="10">
        <v>0.65584267635000004</v>
      </c>
      <c r="U20" s="1" t="s">
        <v>68</v>
      </c>
    </row>
    <row r="21" spans="1:21" x14ac:dyDescent="0.35">
      <c r="A21" s="1" t="s">
        <v>18</v>
      </c>
      <c r="B21" s="1" t="s">
        <v>19</v>
      </c>
      <c r="C21" s="1" t="s">
        <v>805</v>
      </c>
      <c r="D21" s="1" t="s">
        <v>86</v>
      </c>
      <c r="E21" s="1" t="s">
        <v>21</v>
      </c>
      <c r="F21" s="1" t="s">
        <v>87</v>
      </c>
      <c r="G21" s="1" t="s">
        <v>67</v>
      </c>
      <c r="H21" s="1" t="s">
        <v>88</v>
      </c>
      <c r="I21" s="1" t="s">
        <v>89</v>
      </c>
      <c r="J21">
        <v>2598</v>
      </c>
      <c r="K21" s="9">
        <v>2.6782097024000001E-3</v>
      </c>
      <c r="L21" s="9">
        <v>0.45494618324000002</v>
      </c>
      <c r="M21">
        <v>441321</v>
      </c>
      <c r="N21">
        <v>92606</v>
      </c>
      <c r="O21" s="9">
        <v>9.5465083795000003E-2</v>
      </c>
      <c r="P21" s="11">
        <f>Telengana_Reaults_2019[[#This Row],[BJP Votes]]-Telengana_Reaults_2019[[#This Row],[Max Votes Other than BJP]]</f>
        <v>-348715</v>
      </c>
      <c r="Q21" s="9">
        <f>Telengana_Reaults_2019[[#This Row],[BJP Vote Share]]-Telengana_Reaults_2019[[#This Row],[Max Votes Share other than BJP]]</f>
        <v>-0.35948109944500001</v>
      </c>
      <c r="R21">
        <v>970051</v>
      </c>
      <c r="S21">
        <v>1479091</v>
      </c>
      <c r="T21" s="10">
        <v>0.65584267635000004</v>
      </c>
      <c r="U21" s="1" t="s">
        <v>68</v>
      </c>
    </row>
    <row r="22" spans="1:21" x14ac:dyDescent="0.35">
      <c r="A22" s="1" t="s">
        <v>18</v>
      </c>
      <c r="B22" s="1" t="s">
        <v>19</v>
      </c>
      <c r="C22" s="1" t="s">
        <v>805</v>
      </c>
      <c r="D22" s="1" t="s">
        <v>90</v>
      </c>
      <c r="E22" s="1" t="s">
        <v>21</v>
      </c>
      <c r="F22" s="1" t="s">
        <v>91</v>
      </c>
      <c r="G22" s="1" t="s">
        <v>67</v>
      </c>
      <c r="H22" s="1" t="s">
        <v>92</v>
      </c>
      <c r="I22" s="1" t="s">
        <v>93</v>
      </c>
      <c r="J22">
        <v>6818</v>
      </c>
      <c r="K22" s="9">
        <v>7.0284964398999996E-3</v>
      </c>
      <c r="L22" s="9">
        <v>0.45494618324000002</v>
      </c>
      <c r="M22">
        <v>441321</v>
      </c>
      <c r="N22">
        <v>92606</v>
      </c>
      <c r="O22" s="9">
        <v>9.5465083795000003E-2</v>
      </c>
      <c r="P22" s="11">
        <f>Telengana_Reaults_2019[[#This Row],[BJP Votes]]-Telengana_Reaults_2019[[#This Row],[Max Votes Other than BJP]]</f>
        <v>-348715</v>
      </c>
      <c r="Q22" s="9">
        <f>Telengana_Reaults_2019[[#This Row],[BJP Vote Share]]-Telengana_Reaults_2019[[#This Row],[Max Votes Share other than BJP]]</f>
        <v>-0.35948109944500001</v>
      </c>
      <c r="R22">
        <v>970051</v>
      </c>
      <c r="S22">
        <v>1479091</v>
      </c>
      <c r="T22" s="10">
        <v>0.65584267635000004</v>
      </c>
      <c r="U22" s="1" t="s">
        <v>68</v>
      </c>
    </row>
    <row r="23" spans="1:21" x14ac:dyDescent="0.35">
      <c r="A23" s="1" t="s">
        <v>18</v>
      </c>
      <c r="B23" s="1" t="s">
        <v>19</v>
      </c>
      <c r="C23" s="1" t="s">
        <v>805</v>
      </c>
      <c r="D23" s="1" t="s">
        <v>94</v>
      </c>
      <c r="E23" s="1" t="s">
        <v>21</v>
      </c>
      <c r="F23" s="1" t="s">
        <v>95</v>
      </c>
      <c r="G23" s="1" t="s">
        <v>67</v>
      </c>
      <c r="H23" s="1" t="s">
        <v>96</v>
      </c>
      <c r="I23" s="1" t="s">
        <v>97</v>
      </c>
      <c r="J23">
        <v>2215</v>
      </c>
      <c r="K23" s="9">
        <v>2.2833851004000001E-3</v>
      </c>
      <c r="L23" s="9">
        <v>0.45494618324000002</v>
      </c>
      <c r="M23">
        <v>441321</v>
      </c>
      <c r="N23">
        <v>92606</v>
      </c>
      <c r="O23" s="9">
        <v>9.5465083795000003E-2</v>
      </c>
      <c r="P23" s="11">
        <f>Telengana_Reaults_2019[[#This Row],[BJP Votes]]-Telengana_Reaults_2019[[#This Row],[Max Votes Other than BJP]]</f>
        <v>-348715</v>
      </c>
      <c r="Q23" s="9">
        <f>Telengana_Reaults_2019[[#This Row],[BJP Vote Share]]-Telengana_Reaults_2019[[#This Row],[Max Votes Share other than BJP]]</f>
        <v>-0.35948109944500001</v>
      </c>
      <c r="R23">
        <v>970051</v>
      </c>
      <c r="S23">
        <v>1479091</v>
      </c>
      <c r="T23" s="10">
        <v>0.65584267635000004</v>
      </c>
      <c r="U23" s="1" t="s">
        <v>68</v>
      </c>
    </row>
    <row r="24" spans="1:21" x14ac:dyDescent="0.35">
      <c r="A24" s="1" t="s">
        <v>18</v>
      </c>
      <c r="B24" s="1" t="s">
        <v>19</v>
      </c>
      <c r="C24" s="1" t="s">
        <v>805</v>
      </c>
      <c r="D24" s="1" t="s">
        <v>98</v>
      </c>
      <c r="E24" s="1" t="s">
        <v>21</v>
      </c>
      <c r="F24" s="1" t="s">
        <v>99</v>
      </c>
      <c r="G24" s="1" t="s">
        <v>67</v>
      </c>
      <c r="H24" s="1" t="s">
        <v>53</v>
      </c>
      <c r="I24" s="1" t="s">
        <v>63</v>
      </c>
      <c r="J24">
        <v>2459</v>
      </c>
      <c r="K24" s="9">
        <v>2.5349182672000001E-3</v>
      </c>
      <c r="L24" s="9">
        <v>0.45494618324000002</v>
      </c>
      <c r="M24">
        <v>441321</v>
      </c>
      <c r="N24">
        <v>92606</v>
      </c>
      <c r="O24" s="9">
        <v>9.5465083795000003E-2</v>
      </c>
      <c r="P24" s="11">
        <f>Telengana_Reaults_2019[[#This Row],[BJP Votes]]-Telengana_Reaults_2019[[#This Row],[Max Votes Other than BJP]]</f>
        <v>-348715</v>
      </c>
      <c r="Q24" s="9">
        <f>Telengana_Reaults_2019[[#This Row],[BJP Vote Share]]-Telengana_Reaults_2019[[#This Row],[Max Votes Share other than BJP]]</f>
        <v>-0.35948109944500001</v>
      </c>
      <c r="R24">
        <v>970051</v>
      </c>
      <c r="S24">
        <v>1479091</v>
      </c>
      <c r="T24" s="10">
        <v>0.65584267635000004</v>
      </c>
      <c r="U24" s="1" t="s">
        <v>68</v>
      </c>
    </row>
    <row r="25" spans="1:21" x14ac:dyDescent="0.35">
      <c r="A25" s="1" t="s">
        <v>18</v>
      </c>
      <c r="B25" s="1" t="s">
        <v>19</v>
      </c>
      <c r="C25" s="1" t="s">
        <v>805</v>
      </c>
      <c r="D25" s="1" t="s">
        <v>100</v>
      </c>
      <c r="E25" s="1" t="s">
        <v>21</v>
      </c>
      <c r="F25" s="1" t="s">
        <v>62</v>
      </c>
      <c r="G25" s="1" t="s">
        <v>67</v>
      </c>
      <c r="H25" s="1" t="s">
        <v>53</v>
      </c>
      <c r="I25" s="1" t="s">
        <v>38</v>
      </c>
      <c r="J25">
        <v>6905</v>
      </c>
      <c r="K25" s="9">
        <v>7.1181824460999996E-3</v>
      </c>
      <c r="L25" s="9">
        <v>0.45494618324000002</v>
      </c>
      <c r="M25">
        <v>441321</v>
      </c>
      <c r="N25">
        <v>92606</v>
      </c>
      <c r="O25" s="9">
        <v>9.5465083795000003E-2</v>
      </c>
      <c r="P25" s="11">
        <f>Telengana_Reaults_2019[[#This Row],[BJP Votes]]-Telengana_Reaults_2019[[#This Row],[Max Votes Other than BJP]]</f>
        <v>-348715</v>
      </c>
      <c r="Q25" s="9">
        <f>Telengana_Reaults_2019[[#This Row],[BJP Vote Share]]-Telengana_Reaults_2019[[#This Row],[Max Votes Share other than BJP]]</f>
        <v>-0.35948109944500001</v>
      </c>
      <c r="R25">
        <v>970051</v>
      </c>
      <c r="S25">
        <v>1479091</v>
      </c>
      <c r="T25" s="10">
        <v>0.65584267635000004</v>
      </c>
      <c r="U25" s="1" t="s">
        <v>68</v>
      </c>
    </row>
    <row r="26" spans="1:21" x14ac:dyDescent="0.35">
      <c r="A26" s="1" t="s">
        <v>18</v>
      </c>
      <c r="B26" s="1" t="s">
        <v>19</v>
      </c>
      <c r="C26" s="1" t="s">
        <v>805</v>
      </c>
      <c r="D26" s="1" t="s">
        <v>101</v>
      </c>
      <c r="E26" s="1" t="s">
        <v>21</v>
      </c>
      <c r="F26" s="1" t="s">
        <v>75</v>
      </c>
      <c r="G26" s="1" t="s">
        <v>67</v>
      </c>
      <c r="H26" s="1" t="s">
        <v>53</v>
      </c>
      <c r="I26" s="1" t="s">
        <v>102</v>
      </c>
      <c r="J26">
        <v>18219</v>
      </c>
      <c r="K26" s="9">
        <v>1.8781486747E-2</v>
      </c>
      <c r="L26" s="9">
        <v>0.45494618324000002</v>
      </c>
      <c r="M26">
        <v>441321</v>
      </c>
      <c r="N26">
        <v>92606</v>
      </c>
      <c r="O26" s="9">
        <v>9.5465083795000003E-2</v>
      </c>
      <c r="P26" s="11">
        <f>Telengana_Reaults_2019[[#This Row],[BJP Votes]]-Telengana_Reaults_2019[[#This Row],[Max Votes Other than BJP]]</f>
        <v>-348715</v>
      </c>
      <c r="Q26" s="9">
        <f>Telengana_Reaults_2019[[#This Row],[BJP Vote Share]]-Telengana_Reaults_2019[[#This Row],[Max Votes Share other than BJP]]</f>
        <v>-0.35948109944500001</v>
      </c>
      <c r="R26">
        <v>970051</v>
      </c>
      <c r="S26">
        <v>1479091</v>
      </c>
      <c r="T26" s="10">
        <v>0.65584267635000004</v>
      </c>
      <c r="U26" s="1" t="s">
        <v>68</v>
      </c>
    </row>
    <row r="27" spans="1:21" x14ac:dyDescent="0.35">
      <c r="A27" s="1" t="s">
        <v>18</v>
      </c>
      <c r="B27" s="1" t="s">
        <v>19</v>
      </c>
      <c r="C27" s="1" t="s">
        <v>805</v>
      </c>
      <c r="D27" s="1" t="s">
        <v>103</v>
      </c>
      <c r="E27" s="1" t="s">
        <v>21</v>
      </c>
      <c r="F27" s="1" t="s">
        <v>104</v>
      </c>
      <c r="G27" s="1" t="s">
        <v>67</v>
      </c>
      <c r="H27" s="1" t="s">
        <v>53</v>
      </c>
      <c r="I27" s="1" t="s">
        <v>42</v>
      </c>
      <c r="J27">
        <v>6537</v>
      </c>
      <c r="K27" s="9">
        <v>6.7388209486000002E-3</v>
      </c>
      <c r="L27" s="9">
        <v>0.45494618324000002</v>
      </c>
      <c r="M27">
        <v>441321</v>
      </c>
      <c r="N27">
        <v>92606</v>
      </c>
      <c r="O27" s="9">
        <v>9.5465083795000003E-2</v>
      </c>
      <c r="P27" s="11">
        <f>Telengana_Reaults_2019[[#This Row],[BJP Votes]]-Telengana_Reaults_2019[[#This Row],[Max Votes Other than BJP]]</f>
        <v>-348715</v>
      </c>
      <c r="Q27" s="9">
        <f>Telengana_Reaults_2019[[#This Row],[BJP Vote Share]]-Telengana_Reaults_2019[[#This Row],[Max Votes Share other than BJP]]</f>
        <v>-0.35948109944500001</v>
      </c>
      <c r="R27">
        <v>970051</v>
      </c>
      <c r="S27">
        <v>1479091</v>
      </c>
      <c r="T27" s="10">
        <v>0.65584267635000004</v>
      </c>
      <c r="U27" s="1" t="s">
        <v>68</v>
      </c>
    </row>
    <row r="28" spans="1:21" x14ac:dyDescent="0.35">
      <c r="A28" s="1" t="s">
        <v>18</v>
      </c>
      <c r="B28" s="1" t="s">
        <v>19</v>
      </c>
      <c r="C28" s="1" t="s">
        <v>805</v>
      </c>
      <c r="D28" s="1" t="s">
        <v>105</v>
      </c>
      <c r="E28" s="1" t="s">
        <v>35</v>
      </c>
      <c r="F28" s="1" t="s">
        <v>106</v>
      </c>
      <c r="G28" s="1" t="s">
        <v>67</v>
      </c>
      <c r="H28" s="1" t="s">
        <v>53</v>
      </c>
      <c r="I28" s="1" t="s">
        <v>107</v>
      </c>
      <c r="J28">
        <v>3886</v>
      </c>
      <c r="K28" s="9">
        <v>4.0059749436E-3</v>
      </c>
      <c r="L28" s="9">
        <v>0.45494618324000002</v>
      </c>
      <c r="M28">
        <v>441321</v>
      </c>
      <c r="N28">
        <v>92606</v>
      </c>
      <c r="O28" s="9">
        <v>9.5465083795000003E-2</v>
      </c>
      <c r="P28" s="11">
        <f>Telengana_Reaults_2019[[#This Row],[BJP Votes]]-Telengana_Reaults_2019[[#This Row],[Max Votes Other than BJP]]</f>
        <v>-348715</v>
      </c>
      <c r="Q28" s="9">
        <f>Telengana_Reaults_2019[[#This Row],[BJP Vote Share]]-Telengana_Reaults_2019[[#This Row],[Max Votes Share other than BJP]]</f>
        <v>-0.35948109944500001</v>
      </c>
      <c r="R28">
        <v>970051</v>
      </c>
      <c r="S28">
        <v>1479091</v>
      </c>
      <c r="T28" s="10">
        <v>0.65584267635000004</v>
      </c>
      <c r="U28" s="1" t="s">
        <v>68</v>
      </c>
    </row>
    <row r="29" spans="1:21" x14ac:dyDescent="0.35">
      <c r="A29" s="1" t="s">
        <v>18</v>
      </c>
      <c r="B29" s="1" t="s">
        <v>19</v>
      </c>
      <c r="C29" s="1" t="s">
        <v>805</v>
      </c>
      <c r="D29" s="1" t="s">
        <v>108</v>
      </c>
      <c r="E29" s="1" t="s">
        <v>21</v>
      </c>
      <c r="F29" s="1" t="s">
        <v>40</v>
      </c>
      <c r="G29" s="1" t="s">
        <v>67</v>
      </c>
      <c r="H29" s="1" t="s">
        <v>53</v>
      </c>
      <c r="I29" s="1" t="s">
        <v>54</v>
      </c>
      <c r="J29">
        <v>7384</v>
      </c>
      <c r="K29" s="9">
        <v>7.6119709170000003E-3</v>
      </c>
      <c r="L29" s="9">
        <v>0.45494618324000002</v>
      </c>
      <c r="M29">
        <v>441321</v>
      </c>
      <c r="N29">
        <v>92606</v>
      </c>
      <c r="O29" s="9">
        <v>9.5465083795000003E-2</v>
      </c>
      <c r="P29" s="11">
        <f>Telengana_Reaults_2019[[#This Row],[BJP Votes]]-Telengana_Reaults_2019[[#This Row],[Max Votes Other than BJP]]</f>
        <v>-348715</v>
      </c>
      <c r="Q29" s="9">
        <f>Telengana_Reaults_2019[[#This Row],[BJP Vote Share]]-Telengana_Reaults_2019[[#This Row],[Max Votes Share other than BJP]]</f>
        <v>-0.35948109944500001</v>
      </c>
      <c r="R29">
        <v>970051</v>
      </c>
      <c r="S29">
        <v>1479091</v>
      </c>
      <c r="T29" s="10">
        <v>0.65584267635000004</v>
      </c>
      <c r="U29" s="1" t="s">
        <v>68</v>
      </c>
    </row>
    <row r="30" spans="1:21" x14ac:dyDescent="0.35">
      <c r="A30" s="1" t="s">
        <v>18</v>
      </c>
      <c r="B30" s="1" t="s">
        <v>19</v>
      </c>
      <c r="C30" s="1" t="s">
        <v>805</v>
      </c>
      <c r="D30" s="1" t="s">
        <v>109</v>
      </c>
      <c r="E30" s="1" t="s">
        <v>21</v>
      </c>
      <c r="F30" s="1" t="s">
        <v>99</v>
      </c>
      <c r="G30" s="1" t="s">
        <v>67</v>
      </c>
      <c r="H30" s="1" t="s">
        <v>53</v>
      </c>
      <c r="I30" s="1" t="s">
        <v>110</v>
      </c>
      <c r="J30">
        <v>4267</v>
      </c>
      <c r="K30" s="9">
        <v>4.3987377982999997E-3</v>
      </c>
      <c r="L30" s="9">
        <v>0.45494618324000002</v>
      </c>
      <c r="M30">
        <v>441321</v>
      </c>
      <c r="N30">
        <v>92606</v>
      </c>
      <c r="O30" s="9">
        <v>9.5465083795000003E-2</v>
      </c>
      <c r="P30" s="11">
        <f>Telengana_Reaults_2019[[#This Row],[BJP Votes]]-Telengana_Reaults_2019[[#This Row],[Max Votes Other than BJP]]</f>
        <v>-348715</v>
      </c>
      <c r="Q30" s="9">
        <f>Telengana_Reaults_2019[[#This Row],[BJP Vote Share]]-Telengana_Reaults_2019[[#This Row],[Max Votes Share other than BJP]]</f>
        <v>-0.35948109944500001</v>
      </c>
      <c r="R30">
        <v>970051</v>
      </c>
      <c r="S30">
        <v>1479091</v>
      </c>
      <c r="T30" s="10">
        <v>0.65584267635000004</v>
      </c>
      <c r="U30" s="1" t="s">
        <v>68</v>
      </c>
    </row>
    <row r="31" spans="1:21" x14ac:dyDescent="0.35">
      <c r="A31" s="1" t="s">
        <v>18</v>
      </c>
      <c r="B31" s="1" t="s">
        <v>19</v>
      </c>
      <c r="C31" s="1" t="s">
        <v>805</v>
      </c>
      <c r="D31" s="1" t="s">
        <v>64</v>
      </c>
      <c r="E31" s="1" t="s">
        <v>64</v>
      </c>
      <c r="F31" s="1" t="s">
        <v>64</v>
      </c>
      <c r="G31" s="1" t="s">
        <v>64</v>
      </c>
      <c r="H31" s="1" t="s">
        <v>64</v>
      </c>
      <c r="I31" s="1" t="s">
        <v>64</v>
      </c>
      <c r="J31">
        <v>8971</v>
      </c>
      <c r="K31" s="9">
        <v>9.2479673748999992E-3</v>
      </c>
      <c r="L31" s="9">
        <v>0.45494618324000002</v>
      </c>
      <c r="M31">
        <v>441321</v>
      </c>
      <c r="N31">
        <v>92606</v>
      </c>
      <c r="O31" s="9">
        <v>9.5465083795000003E-2</v>
      </c>
      <c r="P31" s="11">
        <f>Telengana_Reaults_2019[[#This Row],[BJP Votes]]-Telengana_Reaults_2019[[#This Row],[Max Votes Other than BJP]]</f>
        <v>-348715</v>
      </c>
      <c r="Q31" s="9">
        <f>Telengana_Reaults_2019[[#This Row],[BJP Vote Share]]-Telengana_Reaults_2019[[#This Row],[Max Votes Share other than BJP]]</f>
        <v>-0.35948109944500001</v>
      </c>
      <c r="R31">
        <v>970051</v>
      </c>
      <c r="S31">
        <v>1479091</v>
      </c>
      <c r="T31" s="10">
        <v>0.65584267635000004</v>
      </c>
      <c r="U31" s="1" t="s">
        <v>68</v>
      </c>
    </row>
    <row r="32" spans="1:21" x14ac:dyDescent="0.35">
      <c r="A32" s="1" t="s">
        <v>18</v>
      </c>
      <c r="B32" s="1" t="s">
        <v>19</v>
      </c>
      <c r="C32" s="1" t="s">
        <v>869</v>
      </c>
      <c r="D32" s="1" t="s">
        <v>111</v>
      </c>
      <c r="E32" s="1" t="s">
        <v>21</v>
      </c>
      <c r="F32" s="1" t="s">
        <v>28</v>
      </c>
      <c r="G32" s="1" t="s">
        <v>112</v>
      </c>
      <c r="H32" s="1" t="s">
        <v>29</v>
      </c>
      <c r="I32" s="1" t="s">
        <v>30</v>
      </c>
      <c r="J32">
        <v>179258</v>
      </c>
      <c r="K32" s="9">
        <v>0.15618930781000001</v>
      </c>
      <c r="L32" s="9">
        <v>0.35616369128999997</v>
      </c>
      <c r="M32">
        <v>408768</v>
      </c>
      <c r="N32">
        <v>498276</v>
      </c>
      <c r="O32" s="9">
        <v>0.43415291667</v>
      </c>
      <c r="P32" s="11">
        <f>Telengana_Reaults_2019[[#This Row],[BJP Votes]]-Telengana_Reaults_2019[[#This Row],[Max Votes Other than BJP]]</f>
        <v>89508</v>
      </c>
      <c r="Q32" s="9">
        <f>Telengana_Reaults_2019[[#This Row],[BJP Vote Share]]-Telengana_Reaults_2019[[#This Row],[Max Votes Share other than BJP]]</f>
        <v>7.7989225380000027E-2</v>
      </c>
      <c r="R32">
        <v>1147697</v>
      </c>
      <c r="S32">
        <v>1651543</v>
      </c>
      <c r="T32" s="10">
        <v>0.69492408008999995</v>
      </c>
      <c r="U32" s="1" t="s">
        <v>26</v>
      </c>
    </row>
    <row r="33" spans="1:21" x14ac:dyDescent="0.35">
      <c r="A33" s="1" t="s">
        <v>18</v>
      </c>
      <c r="B33" s="1" t="s">
        <v>19</v>
      </c>
      <c r="C33" s="1" t="s">
        <v>869</v>
      </c>
      <c r="D33" s="1" t="s">
        <v>113</v>
      </c>
      <c r="E33" s="1" t="s">
        <v>21</v>
      </c>
      <c r="F33" s="1" t="s">
        <v>59</v>
      </c>
      <c r="G33" s="1" t="s">
        <v>112</v>
      </c>
      <c r="H33" s="1" t="s">
        <v>32</v>
      </c>
      <c r="I33" s="1" t="s">
        <v>33</v>
      </c>
      <c r="J33">
        <v>498276</v>
      </c>
      <c r="K33" s="9">
        <v>0.43415291667</v>
      </c>
      <c r="L33" s="9">
        <v>0.35616369128999997</v>
      </c>
      <c r="M33">
        <v>408768</v>
      </c>
      <c r="N33">
        <v>498276</v>
      </c>
      <c r="O33" s="9">
        <v>0.43415291667</v>
      </c>
      <c r="P33" s="11">
        <f>Telengana_Reaults_2019[[#This Row],[BJP Votes]]-Telengana_Reaults_2019[[#This Row],[Max Votes Other than BJP]]</f>
        <v>89508</v>
      </c>
      <c r="Q33" s="9">
        <f>Telengana_Reaults_2019[[#This Row],[BJP Vote Share]]-Telengana_Reaults_2019[[#This Row],[Max Votes Share other than BJP]]</f>
        <v>7.7989225380000027E-2</v>
      </c>
      <c r="R33">
        <v>1147697</v>
      </c>
      <c r="S33">
        <v>1651543</v>
      </c>
      <c r="T33" s="10">
        <v>0.69492408008999995</v>
      </c>
      <c r="U33" s="1" t="s">
        <v>26</v>
      </c>
    </row>
    <row r="34" spans="1:21" x14ac:dyDescent="0.35">
      <c r="A34" s="1" t="s">
        <v>18</v>
      </c>
      <c r="B34" s="1" t="s">
        <v>19</v>
      </c>
      <c r="C34" s="1" t="s">
        <v>869</v>
      </c>
      <c r="D34" s="1" t="s">
        <v>114</v>
      </c>
      <c r="E34" s="1" t="s">
        <v>21</v>
      </c>
      <c r="F34" s="1" t="s">
        <v>115</v>
      </c>
      <c r="G34" s="1" t="s">
        <v>112</v>
      </c>
      <c r="H34" s="1" t="s">
        <v>24</v>
      </c>
      <c r="I34" s="1" t="s">
        <v>25</v>
      </c>
      <c r="J34">
        <v>408768</v>
      </c>
      <c r="K34" s="9">
        <v>0.35616369128999997</v>
      </c>
      <c r="L34" s="9">
        <v>0.35616369128999997</v>
      </c>
      <c r="M34">
        <v>408768</v>
      </c>
      <c r="N34">
        <v>498276</v>
      </c>
      <c r="O34" s="9">
        <v>0.43415291667</v>
      </c>
      <c r="P34" s="11">
        <f>Telengana_Reaults_2019[[#This Row],[BJP Votes]]-Telengana_Reaults_2019[[#This Row],[Max Votes Other than BJP]]</f>
        <v>89508</v>
      </c>
      <c r="Q34" s="9">
        <f>Telengana_Reaults_2019[[#This Row],[BJP Vote Share]]-Telengana_Reaults_2019[[#This Row],[Max Votes Share other than BJP]]</f>
        <v>7.7989225380000027E-2</v>
      </c>
      <c r="R34">
        <v>1147697</v>
      </c>
      <c r="S34">
        <v>1651543</v>
      </c>
      <c r="T34" s="10">
        <v>0.69492408008999995</v>
      </c>
      <c r="U34" s="1" t="s">
        <v>26</v>
      </c>
    </row>
    <row r="35" spans="1:21" x14ac:dyDescent="0.35">
      <c r="A35" s="1" t="s">
        <v>18</v>
      </c>
      <c r="B35" s="1" t="s">
        <v>19</v>
      </c>
      <c r="C35" s="1" t="s">
        <v>869</v>
      </c>
      <c r="D35" s="1" t="s">
        <v>116</v>
      </c>
      <c r="E35" s="1" t="s">
        <v>21</v>
      </c>
      <c r="F35" s="1" t="s">
        <v>117</v>
      </c>
      <c r="G35" s="1" t="s">
        <v>112</v>
      </c>
      <c r="H35" s="1" t="s">
        <v>72</v>
      </c>
      <c r="I35" s="1" t="s">
        <v>73</v>
      </c>
      <c r="J35">
        <v>9764</v>
      </c>
      <c r="K35" s="9">
        <v>8.5074719199000007E-3</v>
      </c>
      <c r="L35" s="9">
        <v>0.35616369128999997</v>
      </c>
      <c r="M35">
        <v>408768</v>
      </c>
      <c r="N35">
        <v>498276</v>
      </c>
      <c r="O35" s="9">
        <v>0.43415291667</v>
      </c>
      <c r="P35" s="11">
        <f>Telengana_Reaults_2019[[#This Row],[BJP Votes]]-Telengana_Reaults_2019[[#This Row],[Max Votes Other than BJP]]</f>
        <v>89508</v>
      </c>
      <c r="Q35" s="9">
        <f>Telengana_Reaults_2019[[#This Row],[BJP Vote Share]]-Telengana_Reaults_2019[[#This Row],[Max Votes Share other than BJP]]</f>
        <v>7.7989225380000027E-2</v>
      </c>
      <c r="R35">
        <v>1147697</v>
      </c>
      <c r="S35">
        <v>1651543</v>
      </c>
      <c r="T35" s="10">
        <v>0.69492408008999995</v>
      </c>
      <c r="U35" s="1" t="s">
        <v>26</v>
      </c>
    </row>
    <row r="36" spans="1:21" x14ac:dyDescent="0.35">
      <c r="A36" s="1" t="s">
        <v>18</v>
      </c>
      <c r="B36" s="1" t="s">
        <v>19</v>
      </c>
      <c r="C36" s="1" t="s">
        <v>869</v>
      </c>
      <c r="D36" s="1" t="s">
        <v>118</v>
      </c>
      <c r="E36" s="1" t="s">
        <v>21</v>
      </c>
      <c r="F36" s="1" t="s">
        <v>48</v>
      </c>
      <c r="G36" s="1" t="s">
        <v>112</v>
      </c>
      <c r="H36" s="1" t="s">
        <v>77</v>
      </c>
      <c r="I36" s="1" t="s">
        <v>78</v>
      </c>
      <c r="J36">
        <v>1269</v>
      </c>
      <c r="K36" s="9">
        <v>1.1056925303E-3</v>
      </c>
      <c r="L36" s="9">
        <v>0.35616369128999997</v>
      </c>
      <c r="M36">
        <v>408768</v>
      </c>
      <c r="N36">
        <v>498276</v>
      </c>
      <c r="O36" s="9">
        <v>0.43415291667</v>
      </c>
      <c r="P36" s="11">
        <f>Telengana_Reaults_2019[[#This Row],[BJP Votes]]-Telengana_Reaults_2019[[#This Row],[Max Votes Other than BJP]]</f>
        <v>89508</v>
      </c>
      <c r="Q36" s="9">
        <f>Telengana_Reaults_2019[[#This Row],[BJP Vote Share]]-Telengana_Reaults_2019[[#This Row],[Max Votes Share other than BJP]]</f>
        <v>7.7989225380000027E-2</v>
      </c>
      <c r="R36">
        <v>1147697</v>
      </c>
      <c r="S36">
        <v>1651543</v>
      </c>
      <c r="T36" s="10">
        <v>0.69492408008999995</v>
      </c>
      <c r="U36" s="1" t="s">
        <v>26</v>
      </c>
    </row>
    <row r="37" spans="1:21" x14ac:dyDescent="0.35">
      <c r="A37" s="1" t="s">
        <v>18</v>
      </c>
      <c r="B37" s="1" t="s">
        <v>19</v>
      </c>
      <c r="C37" s="1" t="s">
        <v>869</v>
      </c>
      <c r="D37" s="1" t="s">
        <v>119</v>
      </c>
      <c r="E37" s="1" t="s">
        <v>35</v>
      </c>
      <c r="F37" s="1" t="s">
        <v>120</v>
      </c>
      <c r="G37" s="1" t="s">
        <v>112</v>
      </c>
      <c r="H37" s="1" t="s">
        <v>96</v>
      </c>
      <c r="I37" s="1" t="s">
        <v>97</v>
      </c>
      <c r="J37">
        <v>1459</v>
      </c>
      <c r="K37" s="9">
        <v>1.2712414514000001E-3</v>
      </c>
      <c r="L37" s="9">
        <v>0.35616369128999997</v>
      </c>
      <c r="M37">
        <v>408768</v>
      </c>
      <c r="N37">
        <v>498276</v>
      </c>
      <c r="O37" s="9">
        <v>0.43415291667</v>
      </c>
      <c r="P37" s="11">
        <f>Telengana_Reaults_2019[[#This Row],[BJP Votes]]-Telengana_Reaults_2019[[#This Row],[Max Votes Other than BJP]]</f>
        <v>89508</v>
      </c>
      <c r="Q37" s="9">
        <f>Telengana_Reaults_2019[[#This Row],[BJP Vote Share]]-Telengana_Reaults_2019[[#This Row],[Max Votes Share other than BJP]]</f>
        <v>7.7989225380000027E-2</v>
      </c>
      <c r="R37">
        <v>1147697</v>
      </c>
      <c r="S37">
        <v>1651543</v>
      </c>
      <c r="T37" s="10">
        <v>0.69492408008999995</v>
      </c>
      <c r="U37" s="1" t="s">
        <v>26</v>
      </c>
    </row>
    <row r="38" spans="1:21" x14ac:dyDescent="0.35">
      <c r="A38" s="1" t="s">
        <v>18</v>
      </c>
      <c r="B38" s="1" t="s">
        <v>19</v>
      </c>
      <c r="C38" s="1" t="s">
        <v>869</v>
      </c>
      <c r="D38" s="1" t="s">
        <v>121</v>
      </c>
      <c r="E38" s="1" t="s">
        <v>21</v>
      </c>
      <c r="F38" s="1" t="s">
        <v>106</v>
      </c>
      <c r="G38" s="1" t="s">
        <v>112</v>
      </c>
      <c r="H38" s="1" t="s">
        <v>122</v>
      </c>
      <c r="I38" s="1" t="s">
        <v>123</v>
      </c>
      <c r="J38">
        <v>1056</v>
      </c>
      <c r="K38" s="9">
        <v>9.2010347678999997E-4</v>
      </c>
      <c r="L38" s="9">
        <v>0.35616369128999997</v>
      </c>
      <c r="M38">
        <v>408768</v>
      </c>
      <c r="N38">
        <v>498276</v>
      </c>
      <c r="O38" s="9">
        <v>0.43415291667</v>
      </c>
      <c r="P38" s="11">
        <f>Telengana_Reaults_2019[[#This Row],[BJP Votes]]-Telengana_Reaults_2019[[#This Row],[Max Votes Other than BJP]]</f>
        <v>89508</v>
      </c>
      <c r="Q38" s="9">
        <f>Telengana_Reaults_2019[[#This Row],[BJP Vote Share]]-Telengana_Reaults_2019[[#This Row],[Max Votes Share other than BJP]]</f>
        <v>7.7989225380000027E-2</v>
      </c>
      <c r="R38">
        <v>1147697</v>
      </c>
      <c r="S38">
        <v>1651543</v>
      </c>
      <c r="T38" s="10">
        <v>0.69492408008999995</v>
      </c>
      <c r="U38" s="1" t="s">
        <v>26</v>
      </c>
    </row>
    <row r="39" spans="1:21" x14ac:dyDescent="0.35">
      <c r="A39" s="1" t="s">
        <v>18</v>
      </c>
      <c r="B39" s="1" t="s">
        <v>19</v>
      </c>
      <c r="C39" s="1" t="s">
        <v>869</v>
      </c>
      <c r="D39" s="1" t="s">
        <v>124</v>
      </c>
      <c r="E39" s="1" t="s">
        <v>21</v>
      </c>
      <c r="F39" s="1" t="s">
        <v>125</v>
      </c>
      <c r="G39" s="1" t="s">
        <v>112</v>
      </c>
      <c r="H39" s="1" t="s">
        <v>126</v>
      </c>
      <c r="I39" s="1" t="s">
        <v>127</v>
      </c>
      <c r="J39">
        <v>1431</v>
      </c>
      <c r="K39" s="9">
        <v>1.2468447683E-3</v>
      </c>
      <c r="L39" s="9">
        <v>0.35616369128999997</v>
      </c>
      <c r="M39">
        <v>408768</v>
      </c>
      <c r="N39">
        <v>498276</v>
      </c>
      <c r="O39" s="9">
        <v>0.43415291667</v>
      </c>
      <c r="P39" s="11">
        <f>Telengana_Reaults_2019[[#This Row],[BJP Votes]]-Telengana_Reaults_2019[[#This Row],[Max Votes Other than BJP]]</f>
        <v>89508</v>
      </c>
      <c r="Q39" s="9">
        <f>Telengana_Reaults_2019[[#This Row],[BJP Vote Share]]-Telengana_Reaults_2019[[#This Row],[Max Votes Share other than BJP]]</f>
        <v>7.7989225380000027E-2</v>
      </c>
      <c r="R39">
        <v>1147697</v>
      </c>
      <c r="S39">
        <v>1651543</v>
      </c>
      <c r="T39" s="10">
        <v>0.69492408008999995</v>
      </c>
      <c r="U39" s="1" t="s">
        <v>26</v>
      </c>
    </row>
    <row r="40" spans="1:21" x14ac:dyDescent="0.35">
      <c r="A40" s="1" t="s">
        <v>18</v>
      </c>
      <c r="B40" s="1" t="s">
        <v>19</v>
      </c>
      <c r="C40" s="1" t="s">
        <v>869</v>
      </c>
      <c r="D40" s="1" t="s">
        <v>128</v>
      </c>
      <c r="E40" s="1" t="s">
        <v>21</v>
      </c>
      <c r="F40" s="1" t="s">
        <v>99</v>
      </c>
      <c r="G40" s="1" t="s">
        <v>112</v>
      </c>
      <c r="H40" s="1" t="s">
        <v>53</v>
      </c>
      <c r="I40" s="1" t="s">
        <v>129</v>
      </c>
      <c r="J40">
        <v>1454</v>
      </c>
      <c r="K40" s="9">
        <v>1.2668849007999999E-3</v>
      </c>
      <c r="L40" s="9">
        <v>0.35616369128999997</v>
      </c>
      <c r="M40">
        <v>408768</v>
      </c>
      <c r="N40">
        <v>498276</v>
      </c>
      <c r="O40" s="9">
        <v>0.43415291667</v>
      </c>
      <c r="P40" s="11">
        <f>Telengana_Reaults_2019[[#This Row],[BJP Votes]]-Telengana_Reaults_2019[[#This Row],[Max Votes Other than BJP]]</f>
        <v>89508</v>
      </c>
      <c r="Q40" s="9">
        <f>Telengana_Reaults_2019[[#This Row],[BJP Vote Share]]-Telengana_Reaults_2019[[#This Row],[Max Votes Share other than BJP]]</f>
        <v>7.7989225380000027E-2</v>
      </c>
      <c r="R40">
        <v>1147697</v>
      </c>
      <c r="S40">
        <v>1651543</v>
      </c>
      <c r="T40" s="10">
        <v>0.69492408008999995</v>
      </c>
      <c r="U40" s="1" t="s">
        <v>26</v>
      </c>
    </row>
    <row r="41" spans="1:21" x14ac:dyDescent="0.35">
      <c r="A41" s="1" t="s">
        <v>18</v>
      </c>
      <c r="B41" s="1" t="s">
        <v>19</v>
      </c>
      <c r="C41" s="1" t="s">
        <v>869</v>
      </c>
      <c r="D41" s="1" t="s">
        <v>130</v>
      </c>
      <c r="E41" s="1" t="s">
        <v>21</v>
      </c>
      <c r="F41" s="1" t="s">
        <v>120</v>
      </c>
      <c r="G41" s="1" t="s">
        <v>67</v>
      </c>
      <c r="H41" s="1" t="s">
        <v>53</v>
      </c>
      <c r="I41" s="1" t="s">
        <v>63</v>
      </c>
      <c r="J41">
        <v>1814</v>
      </c>
      <c r="K41" s="9">
        <v>1.5805565406E-3</v>
      </c>
      <c r="L41" s="9">
        <v>0.35616369128999997</v>
      </c>
      <c r="M41">
        <v>408768</v>
      </c>
      <c r="N41">
        <v>498276</v>
      </c>
      <c r="O41" s="9">
        <v>0.43415291667</v>
      </c>
      <c r="P41" s="11">
        <f>Telengana_Reaults_2019[[#This Row],[BJP Votes]]-Telengana_Reaults_2019[[#This Row],[Max Votes Other than BJP]]</f>
        <v>89508</v>
      </c>
      <c r="Q41" s="9">
        <f>Telengana_Reaults_2019[[#This Row],[BJP Vote Share]]-Telengana_Reaults_2019[[#This Row],[Max Votes Share other than BJP]]</f>
        <v>7.7989225380000027E-2</v>
      </c>
      <c r="R41">
        <v>1147697</v>
      </c>
      <c r="S41">
        <v>1651543</v>
      </c>
      <c r="T41" s="10">
        <v>0.69492408008999995</v>
      </c>
      <c r="U41" s="1" t="s">
        <v>26</v>
      </c>
    </row>
    <row r="42" spans="1:21" x14ac:dyDescent="0.35">
      <c r="A42" s="1" t="s">
        <v>18</v>
      </c>
      <c r="B42" s="1" t="s">
        <v>19</v>
      </c>
      <c r="C42" s="1" t="s">
        <v>869</v>
      </c>
      <c r="D42" s="1" t="s">
        <v>131</v>
      </c>
      <c r="E42" s="1" t="s">
        <v>21</v>
      </c>
      <c r="F42" s="1" t="s">
        <v>71</v>
      </c>
      <c r="G42" s="1" t="s">
        <v>112</v>
      </c>
      <c r="H42" s="1" t="s">
        <v>53</v>
      </c>
      <c r="I42" s="1" t="s">
        <v>107</v>
      </c>
      <c r="J42">
        <v>3470</v>
      </c>
      <c r="K42" s="9">
        <v>3.0234460837999999E-3</v>
      </c>
      <c r="L42" s="9">
        <v>0.35616369128999997</v>
      </c>
      <c r="M42">
        <v>408768</v>
      </c>
      <c r="N42">
        <v>498276</v>
      </c>
      <c r="O42" s="9">
        <v>0.43415291667</v>
      </c>
      <c r="P42" s="11">
        <f>Telengana_Reaults_2019[[#This Row],[BJP Votes]]-Telengana_Reaults_2019[[#This Row],[Max Votes Other than BJP]]</f>
        <v>89508</v>
      </c>
      <c r="Q42" s="9">
        <f>Telengana_Reaults_2019[[#This Row],[BJP Vote Share]]-Telengana_Reaults_2019[[#This Row],[Max Votes Share other than BJP]]</f>
        <v>7.7989225380000027E-2</v>
      </c>
      <c r="R42">
        <v>1147697</v>
      </c>
      <c r="S42">
        <v>1651543</v>
      </c>
      <c r="T42" s="10">
        <v>0.69492408008999995</v>
      </c>
      <c r="U42" s="1" t="s">
        <v>26</v>
      </c>
    </row>
    <row r="43" spans="1:21" x14ac:dyDescent="0.35">
      <c r="A43" s="1" t="s">
        <v>18</v>
      </c>
      <c r="B43" s="1" t="s">
        <v>19</v>
      </c>
      <c r="C43" s="1" t="s">
        <v>869</v>
      </c>
      <c r="D43" s="1" t="s">
        <v>132</v>
      </c>
      <c r="E43" s="1" t="s">
        <v>21</v>
      </c>
      <c r="F43" s="1" t="s">
        <v>44</v>
      </c>
      <c r="G43" s="1" t="s">
        <v>112</v>
      </c>
      <c r="H43" s="1" t="s">
        <v>53</v>
      </c>
      <c r="I43" s="1" t="s">
        <v>133</v>
      </c>
      <c r="J43">
        <v>11637</v>
      </c>
      <c r="K43" s="9">
        <v>1.0139435757E-2</v>
      </c>
      <c r="L43" s="9">
        <v>0.35616369128999997</v>
      </c>
      <c r="M43">
        <v>408768</v>
      </c>
      <c r="N43">
        <v>498276</v>
      </c>
      <c r="O43" s="9">
        <v>0.43415291667</v>
      </c>
      <c r="P43" s="11">
        <f>Telengana_Reaults_2019[[#This Row],[BJP Votes]]-Telengana_Reaults_2019[[#This Row],[Max Votes Other than BJP]]</f>
        <v>89508</v>
      </c>
      <c r="Q43" s="9">
        <f>Telengana_Reaults_2019[[#This Row],[BJP Vote Share]]-Telengana_Reaults_2019[[#This Row],[Max Votes Share other than BJP]]</f>
        <v>7.7989225380000027E-2</v>
      </c>
      <c r="R43">
        <v>1147697</v>
      </c>
      <c r="S43">
        <v>1651543</v>
      </c>
      <c r="T43" s="10">
        <v>0.69492408008999995</v>
      </c>
      <c r="U43" s="1" t="s">
        <v>26</v>
      </c>
    </row>
    <row r="44" spans="1:21" x14ac:dyDescent="0.35">
      <c r="A44" s="1" t="s">
        <v>18</v>
      </c>
      <c r="B44" s="1" t="s">
        <v>19</v>
      </c>
      <c r="C44" s="1" t="s">
        <v>869</v>
      </c>
      <c r="D44" s="1" t="s">
        <v>134</v>
      </c>
      <c r="E44" s="1" t="s">
        <v>21</v>
      </c>
      <c r="F44" s="1" t="s">
        <v>135</v>
      </c>
      <c r="G44" s="1" t="s">
        <v>112</v>
      </c>
      <c r="H44" s="1" t="s">
        <v>53</v>
      </c>
      <c r="I44" s="1" t="s">
        <v>136</v>
      </c>
      <c r="J44">
        <v>6385</v>
      </c>
      <c r="K44" s="9">
        <v>5.5633150561999996E-3</v>
      </c>
      <c r="L44" s="9">
        <v>0.35616369128999997</v>
      </c>
      <c r="M44">
        <v>408768</v>
      </c>
      <c r="N44">
        <v>498276</v>
      </c>
      <c r="O44" s="9">
        <v>0.43415291667</v>
      </c>
      <c r="P44" s="11">
        <f>Telengana_Reaults_2019[[#This Row],[BJP Votes]]-Telengana_Reaults_2019[[#This Row],[Max Votes Other than BJP]]</f>
        <v>89508</v>
      </c>
      <c r="Q44" s="9">
        <f>Telengana_Reaults_2019[[#This Row],[BJP Vote Share]]-Telengana_Reaults_2019[[#This Row],[Max Votes Share other than BJP]]</f>
        <v>7.7989225380000027E-2</v>
      </c>
      <c r="R44">
        <v>1147697</v>
      </c>
      <c r="S44">
        <v>1651543</v>
      </c>
      <c r="T44" s="10">
        <v>0.69492408008999995</v>
      </c>
      <c r="U44" s="1" t="s">
        <v>26</v>
      </c>
    </row>
    <row r="45" spans="1:21" x14ac:dyDescent="0.35">
      <c r="A45" s="1" t="s">
        <v>18</v>
      </c>
      <c r="B45" s="1" t="s">
        <v>19</v>
      </c>
      <c r="C45" s="1" t="s">
        <v>869</v>
      </c>
      <c r="D45" s="1" t="s">
        <v>137</v>
      </c>
      <c r="E45" s="1" t="s">
        <v>21</v>
      </c>
      <c r="F45" s="1" t="s">
        <v>75</v>
      </c>
      <c r="G45" s="1" t="s">
        <v>112</v>
      </c>
      <c r="H45" s="1" t="s">
        <v>53</v>
      </c>
      <c r="I45" s="1" t="s">
        <v>54</v>
      </c>
      <c r="J45">
        <v>5851</v>
      </c>
      <c r="K45" s="9">
        <v>5.0980354571000001E-3</v>
      </c>
      <c r="L45" s="9">
        <v>0.35616369128999997</v>
      </c>
      <c r="M45">
        <v>408768</v>
      </c>
      <c r="N45">
        <v>498276</v>
      </c>
      <c r="O45" s="9">
        <v>0.43415291667</v>
      </c>
      <c r="P45" s="11">
        <f>Telengana_Reaults_2019[[#This Row],[BJP Votes]]-Telengana_Reaults_2019[[#This Row],[Max Votes Other than BJP]]</f>
        <v>89508</v>
      </c>
      <c r="Q45" s="9">
        <f>Telengana_Reaults_2019[[#This Row],[BJP Vote Share]]-Telengana_Reaults_2019[[#This Row],[Max Votes Share other than BJP]]</f>
        <v>7.7989225380000027E-2</v>
      </c>
      <c r="R45">
        <v>1147697</v>
      </c>
      <c r="S45">
        <v>1651543</v>
      </c>
      <c r="T45" s="10">
        <v>0.69492408008999995</v>
      </c>
      <c r="U45" s="1" t="s">
        <v>26</v>
      </c>
    </row>
    <row r="46" spans="1:21" x14ac:dyDescent="0.35">
      <c r="A46" s="1" t="s">
        <v>18</v>
      </c>
      <c r="B46" s="1" t="s">
        <v>19</v>
      </c>
      <c r="C46" s="1" t="s">
        <v>869</v>
      </c>
      <c r="D46" s="1" t="s">
        <v>138</v>
      </c>
      <c r="E46" s="1" t="s">
        <v>21</v>
      </c>
      <c r="F46" s="1" t="s">
        <v>80</v>
      </c>
      <c r="G46" s="1" t="s">
        <v>67</v>
      </c>
      <c r="H46" s="1" t="s">
        <v>53</v>
      </c>
      <c r="I46" s="1" t="s">
        <v>139</v>
      </c>
      <c r="J46">
        <v>7826</v>
      </c>
      <c r="K46" s="9">
        <v>6.8188729254999997E-3</v>
      </c>
      <c r="L46" s="9">
        <v>0.35616369128999997</v>
      </c>
      <c r="M46">
        <v>408768</v>
      </c>
      <c r="N46">
        <v>498276</v>
      </c>
      <c r="O46" s="9">
        <v>0.43415291667</v>
      </c>
      <c r="P46" s="11">
        <f>Telengana_Reaults_2019[[#This Row],[BJP Votes]]-Telengana_Reaults_2019[[#This Row],[Max Votes Other than BJP]]</f>
        <v>89508</v>
      </c>
      <c r="Q46" s="9">
        <f>Telengana_Reaults_2019[[#This Row],[BJP Vote Share]]-Telengana_Reaults_2019[[#This Row],[Max Votes Share other than BJP]]</f>
        <v>7.7989225380000027E-2</v>
      </c>
      <c r="R46">
        <v>1147697</v>
      </c>
      <c r="S46">
        <v>1651543</v>
      </c>
      <c r="T46" s="10">
        <v>0.69492408008999995</v>
      </c>
      <c r="U46" s="1" t="s">
        <v>26</v>
      </c>
    </row>
    <row r="47" spans="1:21" x14ac:dyDescent="0.35">
      <c r="A47" s="1" t="s">
        <v>18</v>
      </c>
      <c r="B47" s="1" t="s">
        <v>19</v>
      </c>
      <c r="C47" s="1" t="s">
        <v>869</v>
      </c>
      <c r="D47" s="1" t="s">
        <v>64</v>
      </c>
      <c r="E47" s="1" t="s">
        <v>64</v>
      </c>
      <c r="F47" s="1" t="s">
        <v>64</v>
      </c>
      <c r="G47" s="1" t="s">
        <v>64</v>
      </c>
      <c r="H47" s="1" t="s">
        <v>64</v>
      </c>
      <c r="I47" s="1" t="s">
        <v>64</v>
      </c>
      <c r="J47">
        <v>7979</v>
      </c>
      <c r="K47" s="9">
        <v>6.9521833724000004E-3</v>
      </c>
      <c r="L47" s="9">
        <v>0.35616369128999997</v>
      </c>
      <c r="M47">
        <v>408768</v>
      </c>
      <c r="N47">
        <v>498276</v>
      </c>
      <c r="O47" s="9">
        <v>0.43415291667</v>
      </c>
      <c r="P47" s="11">
        <f>Telengana_Reaults_2019[[#This Row],[BJP Votes]]-Telengana_Reaults_2019[[#This Row],[Max Votes Other than BJP]]</f>
        <v>89508</v>
      </c>
      <c r="Q47" s="9">
        <f>Telengana_Reaults_2019[[#This Row],[BJP Vote Share]]-Telengana_Reaults_2019[[#This Row],[Max Votes Share other than BJP]]</f>
        <v>7.7989225380000027E-2</v>
      </c>
      <c r="R47">
        <v>1147697</v>
      </c>
      <c r="S47">
        <v>1651543</v>
      </c>
      <c r="T47" s="10">
        <v>0.69492408008999995</v>
      </c>
      <c r="U47" s="1" t="s">
        <v>26</v>
      </c>
    </row>
    <row r="48" spans="1:21" x14ac:dyDescent="0.35">
      <c r="A48" s="1" t="s">
        <v>18</v>
      </c>
      <c r="B48" s="1" t="s">
        <v>19</v>
      </c>
      <c r="C48" s="1" t="s">
        <v>140</v>
      </c>
      <c r="D48" s="1" t="s">
        <v>141</v>
      </c>
      <c r="E48" s="1" t="s">
        <v>21</v>
      </c>
      <c r="F48" s="1" t="s">
        <v>117</v>
      </c>
      <c r="G48" s="1" t="s">
        <v>112</v>
      </c>
      <c r="H48" s="1" t="s">
        <v>32</v>
      </c>
      <c r="I48" s="1" t="s">
        <v>33</v>
      </c>
      <c r="J48">
        <v>480584</v>
      </c>
      <c r="K48" s="9">
        <v>0.45220029207000001</v>
      </c>
      <c r="L48" s="9">
        <v>0.38551123105000001</v>
      </c>
      <c r="M48">
        <v>409709</v>
      </c>
      <c r="N48">
        <v>480584</v>
      </c>
      <c r="O48" s="9">
        <v>0.45220029207000001</v>
      </c>
      <c r="P48" s="11">
        <f>Telengana_Reaults_2019[[#This Row],[BJP Votes]]-Telengana_Reaults_2019[[#This Row],[Max Votes Other than BJP]]</f>
        <v>70875</v>
      </c>
      <c r="Q48" s="9">
        <f>Telengana_Reaults_2019[[#This Row],[BJP Vote Share]]-Telengana_Reaults_2019[[#This Row],[Max Votes Share other than BJP]]</f>
        <v>6.6689061019999996E-2</v>
      </c>
      <c r="R48">
        <v>1062768</v>
      </c>
      <c r="S48">
        <v>1553385</v>
      </c>
      <c r="T48" s="10">
        <v>0.68416265123999997</v>
      </c>
      <c r="U48" s="1" t="s">
        <v>26</v>
      </c>
    </row>
    <row r="49" spans="1:21" x14ac:dyDescent="0.35">
      <c r="A49" s="1" t="s">
        <v>18</v>
      </c>
      <c r="B49" s="1" t="s">
        <v>19</v>
      </c>
      <c r="C49" s="1" t="s">
        <v>140</v>
      </c>
      <c r="D49" s="1" t="s">
        <v>142</v>
      </c>
      <c r="E49" s="1" t="s">
        <v>35</v>
      </c>
      <c r="F49" s="1" t="s">
        <v>143</v>
      </c>
      <c r="G49" s="1" t="s">
        <v>112</v>
      </c>
      <c r="H49" s="1" t="s">
        <v>24</v>
      </c>
      <c r="I49" s="1" t="s">
        <v>25</v>
      </c>
      <c r="J49">
        <v>409709</v>
      </c>
      <c r="K49" s="9">
        <v>0.38551123105000001</v>
      </c>
      <c r="L49" s="9">
        <v>0.38551123105000001</v>
      </c>
      <c r="M49">
        <v>409709</v>
      </c>
      <c r="N49">
        <v>480584</v>
      </c>
      <c r="O49" s="9">
        <v>0.45220029207000001</v>
      </c>
      <c r="P49" s="11">
        <f>Telengana_Reaults_2019[[#This Row],[BJP Votes]]-Telengana_Reaults_2019[[#This Row],[Max Votes Other than BJP]]</f>
        <v>70875</v>
      </c>
      <c r="Q49" s="9">
        <f>Telengana_Reaults_2019[[#This Row],[BJP Vote Share]]-Telengana_Reaults_2019[[#This Row],[Max Votes Share other than BJP]]</f>
        <v>6.6689061019999996E-2</v>
      </c>
      <c r="R49">
        <v>1062768</v>
      </c>
      <c r="S49">
        <v>1553385</v>
      </c>
      <c r="T49" s="10">
        <v>0.68416265123999997</v>
      </c>
      <c r="U49" s="1" t="s">
        <v>26</v>
      </c>
    </row>
    <row r="50" spans="1:21" x14ac:dyDescent="0.35">
      <c r="A50" s="1" t="s">
        <v>18</v>
      </c>
      <c r="B50" s="1" t="s">
        <v>19</v>
      </c>
      <c r="C50" s="1" t="s">
        <v>140</v>
      </c>
      <c r="D50" s="1" t="s">
        <v>144</v>
      </c>
      <c r="E50" s="1" t="s">
        <v>21</v>
      </c>
      <c r="F50" s="1" t="s">
        <v>145</v>
      </c>
      <c r="G50" s="1" t="s">
        <v>112</v>
      </c>
      <c r="H50" s="1" t="s">
        <v>29</v>
      </c>
      <c r="I50" s="1" t="s">
        <v>30</v>
      </c>
      <c r="J50">
        <v>69240</v>
      </c>
      <c r="K50" s="9">
        <v>6.5150625535999998E-2</v>
      </c>
      <c r="L50" s="9">
        <v>0.38551123105000001</v>
      </c>
      <c r="M50">
        <v>409709</v>
      </c>
      <c r="N50">
        <v>480584</v>
      </c>
      <c r="O50" s="9">
        <v>0.45220029207000001</v>
      </c>
      <c r="P50" s="11">
        <f>Telengana_Reaults_2019[[#This Row],[BJP Votes]]-Telengana_Reaults_2019[[#This Row],[Max Votes Other than BJP]]</f>
        <v>70875</v>
      </c>
      <c r="Q50" s="9">
        <f>Telengana_Reaults_2019[[#This Row],[BJP Vote Share]]-Telengana_Reaults_2019[[#This Row],[Max Votes Share other than BJP]]</f>
        <v>6.6689061019999996E-2</v>
      </c>
      <c r="R50">
        <v>1062768</v>
      </c>
      <c r="S50">
        <v>1553385</v>
      </c>
      <c r="T50" s="10">
        <v>0.68416265123999997</v>
      </c>
      <c r="U50" s="1" t="s">
        <v>26</v>
      </c>
    </row>
    <row r="51" spans="1:21" x14ac:dyDescent="0.35">
      <c r="A51" s="1" t="s">
        <v>18</v>
      </c>
      <c r="B51" s="1" t="s">
        <v>19</v>
      </c>
      <c r="C51" s="1" t="s">
        <v>140</v>
      </c>
      <c r="D51" s="1" t="s">
        <v>146</v>
      </c>
      <c r="E51" s="1" t="s">
        <v>21</v>
      </c>
      <c r="F51" s="1" t="s">
        <v>71</v>
      </c>
      <c r="G51" s="1" t="s">
        <v>112</v>
      </c>
      <c r="H51" s="1" t="s">
        <v>77</v>
      </c>
      <c r="I51" s="1" t="s">
        <v>78</v>
      </c>
      <c r="J51">
        <v>1229</v>
      </c>
      <c r="K51" s="9">
        <v>1.1564141938999999E-3</v>
      </c>
      <c r="L51" s="9">
        <v>0.38551123105000001</v>
      </c>
      <c r="M51">
        <v>409709</v>
      </c>
      <c r="N51">
        <v>480584</v>
      </c>
      <c r="O51" s="9">
        <v>0.45220029207000001</v>
      </c>
      <c r="P51" s="11">
        <f>Telengana_Reaults_2019[[#This Row],[BJP Votes]]-Telengana_Reaults_2019[[#This Row],[Max Votes Other than BJP]]</f>
        <v>70875</v>
      </c>
      <c r="Q51" s="9">
        <f>Telengana_Reaults_2019[[#This Row],[BJP Vote Share]]-Telengana_Reaults_2019[[#This Row],[Max Votes Share other than BJP]]</f>
        <v>6.6689061019999996E-2</v>
      </c>
      <c r="R51">
        <v>1062768</v>
      </c>
      <c r="S51">
        <v>1553385</v>
      </c>
      <c r="T51" s="10">
        <v>0.68416265123999997</v>
      </c>
      <c r="U51" s="1" t="s">
        <v>26</v>
      </c>
    </row>
    <row r="52" spans="1:21" x14ac:dyDescent="0.35">
      <c r="A52" s="1" t="s">
        <v>18</v>
      </c>
      <c r="B52" s="1" t="s">
        <v>19</v>
      </c>
      <c r="C52" s="1" t="s">
        <v>140</v>
      </c>
      <c r="D52" s="1" t="s">
        <v>147</v>
      </c>
      <c r="E52" s="1" t="s">
        <v>21</v>
      </c>
      <c r="F52" s="1" t="s">
        <v>75</v>
      </c>
      <c r="G52" s="1" t="s">
        <v>112</v>
      </c>
      <c r="H52" s="1" t="s">
        <v>41</v>
      </c>
      <c r="I52" s="1" t="s">
        <v>42</v>
      </c>
      <c r="J52">
        <v>2023</v>
      </c>
      <c r="K52" s="9">
        <v>1.9035198651000001E-3</v>
      </c>
      <c r="L52" s="9">
        <v>0.38551123105000001</v>
      </c>
      <c r="M52">
        <v>409709</v>
      </c>
      <c r="N52">
        <v>480584</v>
      </c>
      <c r="O52" s="9">
        <v>0.45220029207000001</v>
      </c>
      <c r="P52" s="11">
        <f>Telengana_Reaults_2019[[#This Row],[BJP Votes]]-Telengana_Reaults_2019[[#This Row],[Max Votes Other than BJP]]</f>
        <v>70875</v>
      </c>
      <c r="Q52" s="9">
        <f>Telengana_Reaults_2019[[#This Row],[BJP Vote Share]]-Telengana_Reaults_2019[[#This Row],[Max Votes Share other than BJP]]</f>
        <v>6.6689061019999996E-2</v>
      </c>
      <c r="R52">
        <v>1062768</v>
      </c>
      <c r="S52">
        <v>1553385</v>
      </c>
      <c r="T52" s="10">
        <v>0.68416265123999997</v>
      </c>
      <c r="U52" s="1" t="s">
        <v>26</v>
      </c>
    </row>
    <row r="53" spans="1:21" x14ac:dyDescent="0.35">
      <c r="A53" s="1" t="s">
        <v>18</v>
      </c>
      <c r="B53" s="1" t="s">
        <v>19</v>
      </c>
      <c r="C53" s="1" t="s">
        <v>140</v>
      </c>
      <c r="D53" s="1" t="s">
        <v>148</v>
      </c>
      <c r="E53" s="1" t="s">
        <v>21</v>
      </c>
      <c r="F53" s="1" t="s">
        <v>44</v>
      </c>
      <c r="G53" s="1" t="s">
        <v>112</v>
      </c>
      <c r="H53" s="1" t="s">
        <v>126</v>
      </c>
      <c r="I53" s="1" t="s">
        <v>127</v>
      </c>
      <c r="J53">
        <v>495</v>
      </c>
      <c r="K53" s="9">
        <v>4.6576487059999999E-4</v>
      </c>
      <c r="L53" s="9">
        <v>0.38551123105000001</v>
      </c>
      <c r="M53">
        <v>409709</v>
      </c>
      <c r="N53">
        <v>480584</v>
      </c>
      <c r="O53" s="9">
        <v>0.45220029207000001</v>
      </c>
      <c r="P53" s="11">
        <f>Telengana_Reaults_2019[[#This Row],[BJP Votes]]-Telengana_Reaults_2019[[#This Row],[Max Votes Other than BJP]]</f>
        <v>70875</v>
      </c>
      <c r="Q53" s="9">
        <f>Telengana_Reaults_2019[[#This Row],[BJP Vote Share]]-Telengana_Reaults_2019[[#This Row],[Max Votes Share other than BJP]]</f>
        <v>6.6689061019999996E-2</v>
      </c>
      <c r="R53">
        <v>1062768</v>
      </c>
      <c r="S53">
        <v>1553385</v>
      </c>
      <c r="T53" s="10">
        <v>0.68416265123999997</v>
      </c>
      <c r="U53" s="1" t="s">
        <v>26</v>
      </c>
    </row>
    <row r="54" spans="1:21" x14ac:dyDescent="0.35">
      <c r="A54" s="1" t="s">
        <v>18</v>
      </c>
      <c r="B54" s="1" t="s">
        <v>19</v>
      </c>
      <c r="C54" s="1" t="s">
        <v>140</v>
      </c>
      <c r="D54" s="1" t="s">
        <v>149</v>
      </c>
      <c r="E54" s="1" t="s">
        <v>21</v>
      </c>
      <c r="F54" s="1" t="s">
        <v>71</v>
      </c>
      <c r="G54" s="1" t="s">
        <v>67</v>
      </c>
      <c r="H54" s="1" t="s">
        <v>150</v>
      </c>
      <c r="I54" s="1" t="s">
        <v>151</v>
      </c>
      <c r="J54">
        <v>757</v>
      </c>
      <c r="K54" s="9">
        <v>7.1229092331999996E-4</v>
      </c>
      <c r="L54" s="9">
        <v>0.38551123105000001</v>
      </c>
      <c r="M54">
        <v>409709</v>
      </c>
      <c r="N54">
        <v>480584</v>
      </c>
      <c r="O54" s="9">
        <v>0.45220029207000001</v>
      </c>
      <c r="P54" s="11">
        <f>Telengana_Reaults_2019[[#This Row],[BJP Votes]]-Telengana_Reaults_2019[[#This Row],[Max Votes Other than BJP]]</f>
        <v>70875</v>
      </c>
      <c r="Q54" s="9">
        <f>Telengana_Reaults_2019[[#This Row],[BJP Vote Share]]-Telengana_Reaults_2019[[#This Row],[Max Votes Share other than BJP]]</f>
        <v>6.6689061019999996E-2</v>
      </c>
      <c r="R54">
        <v>1062768</v>
      </c>
      <c r="S54">
        <v>1553385</v>
      </c>
      <c r="T54" s="10">
        <v>0.68416265123999997</v>
      </c>
      <c r="U54" s="1" t="s">
        <v>26</v>
      </c>
    </row>
    <row r="55" spans="1:21" x14ac:dyDescent="0.35">
      <c r="A55" s="1" t="s">
        <v>18</v>
      </c>
      <c r="B55" s="1" t="s">
        <v>19</v>
      </c>
      <c r="C55" s="1" t="s">
        <v>140</v>
      </c>
      <c r="D55" s="1" t="s">
        <v>152</v>
      </c>
      <c r="E55" s="1" t="s">
        <v>21</v>
      </c>
      <c r="F55" s="1" t="s">
        <v>44</v>
      </c>
      <c r="G55" s="1" t="s">
        <v>112</v>
      </c>
      <c r="H55" s="1" t="s">
        <v>53</v>
      </c>
      <c r="I55" s="1" t="s">
        <v>153</v>
      </c>
      <c r="J55">
        <v>325</v>
      </c>
      <c r="K55" s="9">
        <v>3.0580521807000002E-4</v>
      </c>
      <c r="L55" s="9">
        <v>0.38551123105000001</v>
      </c>
      <c r="M55">
        <v>409709</v>
      </c>
      <c r="N55">
        <v>480584</v>
      </c>
      <c r="O55" s="9">
        <v>0.45220029207000001</v>
      </c>
      <c r="P55" s="11">
        <f>Telengana_Reaults_2019[[#This Row],[BJP Votes]]-Telengana_Reaults_2019[[#This Row],[Max Votes Other than BJP]]</f>
        <v>70875</v>
      </c>
      <c r="Q55" s="9">
        <f>Telengana_Reaults_2019[[#This Row],[BJP Vote Share]]-Telengana_Reaults_2019[[#This Row],[Max Votes Share other than BJP]]</f>
        <v>6.6689061019999996E-2</v>
      </c>
      <c r="R55">
        <v>1062768</v>
      </c>
      <c r="S55">
        <v>1553385</v>
      </c>
      <c r="T55" s="10">
        <v>0.68416265123999997</v>
      </c>
      <c r="U55" s="1" t="s">
        <v>26</v>
      </c>
    </row>
    <row r="56" spans="1:21" x14ac:dyDescent="0.35">
      <c r="A56" s="1" t="s">
        <v>18</v>
      </c>
      <c r="B56" s="1" t="s">
        <v>19</v>
      </c>
      <c r="C56" s="1" t="s">
        <v>140</v>
      </c>
      <c r="D56" s="1" t="s">
        <v>154</v>
      </c>
      <c r="E56" s="1" t="s">
        <v>21</v>
      </c>
      <c r="F56" s="1" t="s">
        <v>155</v>
      </c>
      <c r="G56" s="1" t="s">
        <v>112</v>
      </c>
      <c r="H56" s="1" t="s">
        <v>53</v>
      </c>
      <c r="I56" s="1" t="s">
        <v>156</v>
      </c>
      <c r="J56">
        <v>734</v>
      </c>
      <c r="K56" s="9">
        <v>6.9064932327999999E-4</v>
      </c>
      <c r="L56" s="9">
        <v>0.38551123105000001</v>
      </c>
      <c r="M56">
        <v>409709</v>
      </c>
      <c r="N56">
        <v>480584</v>
      </c>
      <c r="O56" s="9">
        <v>0.45220029207000001</v>
      </c>
      <c r="P56" s="11">
        <f>Telengana_Reaults_2019[[#This Row],[BJP Votes]]-Telengana_Reaults_2019[[#This Row],[Max Votes Other than BJP]]</f>
        <v>70875</v>
      </c>
      <c r="Q56" s="9">
        <f>Telengana_Reaults_2019[[#This Row],[BJP Vote Share]]-Telengana_Reaults_2019[[#This Row],[Max Votes Share other than BJP]]</f>
        <v>6.6689061019999996E-2</v>
      </c>
      <c r="R56">
        <v>1062768</v>
      </c>
      <c r="S56">
        <v>1553385</v>
      </c>
      <c r="T56" s="10">
        <v>0.68416265123999997</v>
      </c>
      <c r="U56" s="1" t="s">
        <v>26</v>
      </c>
    </row>
    <row r="57" spans="1:21" x14ac:dyDescent="0.35">
      <c r="A57" s="1" t="s">
        <v>18</v>
      </c>
      <c r="B57" s="1" t="s">
        <v>19</v>
      </c>
      <c r="C57" s="1" t="s">
        <v>140</v>
      </c>
      <c r="D57" s="1" t="s">
        <v>157</v>
      </c>
      <c r="E57" s="1" t="s">
        <v>21</v>
      </c>
      <c r="F57" s="1" t="s">
        <v>40</v>
      </c>
      <c r="G57" s="1" t="s">
        <v>112</v>
      </c>
      <c r="H57" s="1" t="s">
        <v>53</v>
      </c>
      <c r="I57" s="1" t="s">
        <v>158</v>
      </c>
      <c r="J57">
        <v>416</v>
      </c>
      <c r="K57" s="9">
        <v>3.9143067913000002E-4</v>
      </c>
      <c r="L57" s="9">
        <v>0.38551123105000001</v>
      </c>
      <c r="M57">
        <v>409709</v>
      </c>
      <c r="N57">
        <v>480584</v>
      </c>
      <c r="O57" s="9">
        <v>0.45220029207000001</v>
      </c>
      <c r="P57" s="11">
        <f>Telengana_Reaults_2019[[#This Row],[BJP Votes]]-Telengana_Reaults_2019[[#This Row],[Max Votes Other than BJP]]</f>
        <v>70875</v>
      </c>
      <c r="Q57" s="9">
        <f>Telengana_Reaults_2019[[#This Row],[BJP Vote Share]]-Telengana_Reaults_2019[[#This Row],[Max Votes Share other than BJP]]</f>
        <v>6.6689061019999996E-2</v>
      </c>
      <c r="R57">
        <v>1062768</v>
      </c>
      <c r="S57">
        <v>1553385</v>
      </c>
      <c r="T57" s="10">
        <v>0.68416265123999997</v>
      </c>
      <c r="U57" s="1" t="s">
        <v>26</v>
      </c>
    </row>
    <row r="58" spans="1:21" x14ac:dyDescent="0.35">
      <c r="A58" s="1" t="s">
        <v>18</v>
      </c>
      <c r="B58" s="1" t="s">
        <v>19</v>
      </c>
      <c r="C58" s="1" t="s">
        <v>140</v>
      </c>
      <c r="D58" s="1" t="s">
        <v>159</v>
      </c>
      <c r="E58" s="1" t="s">
        <v>21</v>
      </c>
      <c r="F58" s="1" t="s">
        <v>160</v>
      </c>
      <c r="G58" s="1" t="s">
        <v>67</v>
      </c>
      <c r="H58" s="1" t="s">
        <v>53</v>
      </c>
      <c r="I58" s="1" t="s">
        <v>161</v>
      </c>
      <c r="J58">
        <v>662</v>
      </c>
      <c r="K58" s="9">
        <v>6.2290170572999997E-4</v>
      </c>
      <c r="L58" s="9">
        <v>0.38551123105000001</v>
      </c>
      <c r="M58">
        <v>409709</v>
      </c>
      <c r="N58">
        <v>480584</v>
      </c>
      <c r="O58" s="9">
        <v>0.45220029207000001</v>
      </c>
      <c r="P58" s="11">
        <f>Telengana_Reaults_2019[[#This Row],[BJP Votes]]-Telengana_Reaults_2019[[#This Row],[Max Votes Other than BJP]]</f>
        <v>70875</v>
      </c>
      <c r="Q58" s="9">
        <f>Telengana_Reaults_2019[[#This Row],[BJP Vote Share]]-Telengana_Reaults_2019[[#This Row],[Max Votes Share other than BJP]]</f>
        <v>6.6689061019999996E-2</v>
      </c>
      <c r="R58">
        <v>1062768</v>
      </c>
      <c r="S58">
        <v>1553385</v>
      </c>
      <c r="T58" s="10">
        <v>0.68416265123999997</v>
      </c>
      <c r="U58" s="1" t="s">
        <v>26</v>
      </c>
    </row>
    <row r="59" spans="1:21" x14ac:dyDescent="0.35">
      <c r="A59" s="1" t="s">
        <v>18</v>
      </c>
      <c r="B59" s="1" t="s">
        <v>19</v>
      </c>
      <c r="C59" s="1" t="s">
        <v>140</v>
      </c>
      <c r="D59" s="1" t="s">
        <v>162</v>
      </c>
      <c r="E59" s="1" t="s">
        <v>21</v>
      </c>
      <c r="F59" s="1" t="s">
        <v>143</v>
      </c>
      <c r="G59" s="1" t="s">
        <v>112</v>
      </c>
      <c r="H59" s="1" t="s">
        <v>53</v>
      </c>
      <c r="I59" s="1" t="s">
        <v>163</v>
      </c>
      <c r="J59">
        <v>1610</v>
      </c>
      <c r="K59" s="9">
        <v>1.5149120034000001E-3</v>
      </c>
      <c r="L59" s="9">
        <v>0.38551123105000001</v>
      </c>
      <c r="M59">
        <v>409709</v>
      </c>
      <c r="N59">
        <v>480584</v>
      </c>
      <c r="O59" s="9">
        <v>0.45220029207000001</v>
      </c>
      <c r="P59" s="11">
        <f>Telengana_Reaults_2019[[#This Row],[BJP Votes]]-Telengana_Reaults_2019[[#This Row],[Max Votes Other than BJP]]</f>
        <v>70875</v>
      </c>
      <c r="Q59" s="9">
        <f>Telengana_Reaults_2019[[#This Row],[BJP Vote Share]]-Telengana_Reaults_2019[[#This Row],[Max Votes Share other than BJP]]</f>
        <v>6.6689061019999996E-2</v>
      </c>
      <c r="R59">
        <v>1062768</v>
      </c>
      <c r="S59">
        <v>1553385</v>
      </c>
      <c r="T59" s="10">
        <v>0.68416265123999997</v>
      </c>
      <c r="U59" s="1" t="s">
        <v>26</v>
      </c>
    </row>
    <row r="60" spans="1:21" x14ac:dyDescent="0.35">
      <c r="A60" s="1" t="s">
        <v>18</v>
      </c>
      <c r="B60" s="1" t="s">
        <v>19</v>
      </c>
      <c r="C60" s="1" t="s">
        <v>140</v>
      </c>
      <c r="D60" s="1" t="s">
        <v>164</v>
      </c>
      <c r="E60" s="1" t="s">
        <v>21</v>
      </c>
      <c r="F60" s="1" t="s">
        <v>165</v>
      </c>
      <c r="G60" s="1" t="s">
        <v>67</v>
      </c>
      <c r="H60" s="1" t="s">
        <v>53</v>
      </c>
      <c r="I60" s="1" t="s">
        <v>129</v>
      </c>
      <c r="J60">
        <v>851</v>
      </c>
      <c r="K60" s="9">
        <v>8.0073920178000001E-4</v>
      </c>
      <c r="L60" s="9">
        <v>0.38551123105000001</v>
      </c>
      <c r="M60">
        <v>409709</v>
      </c>
      <c r="N60">
        <v>480584</v>
      </c>
      <c r="O60" s="9">
        <v>0.45220029207000001</v>
      </c>
      <c r="P60" s="11">
        <f>Telengana_Reaults_2019[[#This Row],[BJP Votes]]-Telengana_Reaults_2019[[#This Row],[Max Votes Other than BJP]]</f>
        <v>70875</v>
      </c>
      <c r="Q60" s="9">
        <f>Telengana_Reaults_2019[[#This Row],[BJP Vote Share]]-Telengana_Reaults_2019[[#This Row],[Max Votes Share other than BJP]]</f>
        <v>6.6689061019999996E-2</v>
      </c>
      <c r="R60">
        <v>1062768</v>
      </c>
      <c r="S60">
        <v>1553385</v>
      </c>
      <c r="T60" s="10">
        <v>0.68416265123999997</v>
      </c>
      <c r="U60" s="1" t="s">
        <v>26</v>
      </c>
    </row>
    <row r="61" spans="1:21" x14ac:dyDescent="0.35">
      <c r="A61" s="1" t="s">
        <v>18</v>
      </c>
      <c r="B61" s="1" t="s">
        <v>19</v>
      </c>
      <c r="C61" s="1" t="s">
        <v>140</v>
      </c>
      <c r="D61" s="1" t="s">
        <v>166</v>
      </c>
      <c r="E61" s="1" t="s">
        <v>21</v>
      </c>
      <c r="F61" s="1" t="s">
        <v>80</v>
      </c>
      <c r="G61" s="1" t="s">
        <v>112</v>
      </c>
      <c r="H61" s="1" t="s">
        <v>53</v>
      </c>
      <c r="I61" s="1" t="s">
        <v>167</v>
      </c>
      <c r="J61">
        <v>1092</v>
      </c>
      <c r="K61" s="9">
        <v>1.0275055327E-3</v>
      </c>
      <c r="L61" s="9">
        <v>0.38551123105000001</v>
      </c>
      <c r="M61">
        <v>409709</v>
      </c>
      <c r="N61">
        <v>480584</v>
      </c>
      <c r="O61" s="9">
        <v>0.45220029207000001</v>
      </c>
      <c r="P61" s="11">
        <f>Telengana_Reaults_2019[[#This Row],[BJP Votes]]-Telengana_Reaults_2019[[#This Row],[Max Votes Other than BJP]]</f>
        <v>70875</v>
      </c>
      <c r="Q61" s="9">
        <f>Telengana_Reaults_2019[[#This Row],[BJP Vote Share]]-Telengana_Reaults_2019[[#This Row],[Max Votes Share other than BJP]]</f>
        <v>6.6689061019999996E-2</v>
      </c>
      <c r="R61">
        <v>1062768</v>
      </c>
      <c r="S61">
        <v>1553385</v>
      </c>
      <c r="T61" s="10">
        <v>0.68416265123999997</v>
      </c>
      <c r="U61" s="1" t="s">
        <v>26</v>
      </c>
    </row>
    <row r="62" spans="1:21" x14ac:dyDescent="0.35">
      <c r="A62" s="1" t="s">
        <v>18</v>
      </c>
      <c r="B62" s="1" t="s">
        <v>19</v>
      </c>
      <c r="C62" s="1" t="s">
        <v>140</v>
      </c>
      <c r="D62" s="1" t="s">
        <v>168</v>
      </c>
      <c r="E62" s="1" t="s">
        <v>21</v>
      </c>
      <c r="F62" s="1" t="s">
        <v>56</v>
      </c>
      <c r="G62" s="1" t="s">
        <v>23</v>
      </c>
      <c r="H62" s="1" t="s">
        <v>53</v>
      </c>
      <c r="I62" s="1" t="s">
        <v>169</v>
      </c>
      <c r="J62">
        <v>2648</v>
      </c>
      <c r="K62" s="9">
        <v>2.4916068228999998E-3</v>
      </c>
      <c r="L62" s="9">
        <v>0.38551123105000001</v>
      </c>
      <c r="M62">
        <v>409709</v>
      </c>
      <c r="N62">
        <v>480584</v>
      </c>
      <c r="O62" s="9">
        <v>0.45220029207000001</v>
      </c>
      <c r="P62" s="11">
        <f>Telengana_Reaults_2019[[#This Row],[BJP Votes]]-Telengana_Reaults_2019[[#This Row],[Max Votes Other than BJP]]</f>
        <v>70875</v>
      </c>
      <c r="Q62" s="9">
        <f>Telengana_Reaults_2019[[#This Row],[BJP Vote Share]]-Telengana_Reaults_2019[[#This Row],[Max Votes Share other than BJP]]</f>
        <v>6.6689061019999996E-2</v>
      </c>
      <c r="R62">
        <v>1062768</v>
      </c>
      <c r="S62">
        <v>1553385</v>
      </c>
      <c r="T62" s="10">
        <v>0.68416265123999997</v>
      </c>
      <c r="U62" s="1" t="s">
        <v>26</v>
      </c>
    </row>
    <row r="63" spans="1:21" x14ac:dyDescent="0.35">
      <c r="A63" s="1" t="s">
        <v>18</v>
      </c>
      <c r="B63" s="1" t="s">
        <v>19</v>
      </c>
      <c r="C63" s="1" t="s">
        <v>140</v>
      </c>
      <c r="D63" s="1" t="s">
        <v>170</v>
      </c>
      <c r="E63" s="1" t="s">
        <v>21</v>
      </c>
      <c r="F63" s="1" t="s">
        <v>52</v>
      </c>
      <c r="G63" s="1" t="s">
        <v>112</v>
      </c>
      <c r="H63" s="1" t="s">
        <v>53</v>
      </c>
      <c r="I63" s="1" t="s">
        <v>171</v>
      </c>
      <c r="J63">
        <v>6096</v>
      </c>
      <c r="K63" s="9">
        <v>5.7359649519000003E-3</v>
      </c>
      <c r="L63" s="9">
        <v>0.38551123105000001</v>
      </c>
      <c r="M63">
        <v>409709</v>
      </c>
      <c r="N63">
        <v>480584</v>
      </c>
      <c r="O63" s="9">
        <v>0.45220029207000001</v>
      </c>
      <c r="P63" s="11">
        <f>Telengana_Reaults_2019[[#This Row],[BJP Votes]]-Telengana_Reaults_2019[[#This Row],[Max Votes Other than BJP]]</f>
        <v>70875</v>
      </c>
      <c r="Q63" s="9">
        <f>Telengana_Reaults_2019[[#This Row],[BJP Vote Share]]-Telengana_Reaults_2019[[#This Row],[Max Votes Share other than BJP]]</f>
        <v>6.6689061019999996E-2</v>
      </c>
      <c r="R63">
        <v>1062768</v>
      </c>
      <c r="S63">
        <v>1553385</v>
      </c>
      <c r="T63" s="10">
        <v>0.68416265123999997</v>
      </c>
      <c r="U63" s="1" t="s">
        <v>26</v>
      </c>
    </row>
    <row r="64" spans="1:21" x14ac:dyDescent="0.35">
      <c r="A64" s="1" t="s">
        <v>18</v>
      </c>
      <c r="B64" s="1" t="s">
        <v>19</v>
      </c>
      <c r="C64" s="1" t="s">
        <v>140</v>
      </c>
      <c r="D64" s="1" t="s">
        <v>172</v>
      </c>
      <c r="E64" s="1" t="s">
        <v>21</v>
      </c>
      <c r="F64" s="1" t="s">
        <v>173</v>
      </c>
      <c r="G64" s="1" t="s">
        <v>112</v>
      </c>
      <c r="H64" s="1" t="s">
        <v>53</v>
      </c>
      <c r="I64" s="1" t="s">
        <v>174</v>
      </c>
      <c r="J64">
        <v>1673</v>
      </c>
      <c r="K64" s="9">
        <v>1.5741911687000001E-3</v>
      </c>
      <c r="L64" s="9">
        <v>0.38551123105000001</v>
      </c>
      <c r="M64">
        <v>409709</v>
      </c>
      <c r="N64">
        <v>480584</v>
      </c>
      <c r="O64" s="9">
        <v>0.45220029207000001</v>
      </c>
      <c r="P64" s="11">
        <f>Telengana_Reaults_2019[[#This Row],[BJP Votes]]-Telengana_Reaults_2019[[#This Row],[Max Votes Other than BJP]]</f>
        <v>70875</v>
      </c>
      <c r="Q64" s="9">
        <f>Telengana_Reaults_2019[[#This Row],[BJP Vote Share]]-Telengana_Reaults_2019[[#This Row],[Max Votes Share other than BJP]]</f>
        <v>6.6689061019999996E-2</v>
      </c>
      <c r="R64">
        <v>1062768</v>
      </c>
      <c r="S64">
        <v>1553385</v>
      </c>
      <c r="T64" s="10">
        <v>0.68416265123999997</v>
      </c>
      <c r="U64" s="1" t="s">
        <v>26</v>
      </c>
    </row>
    <row r="65" spans="1:21" x14ac:dyDescent="0.35">
      <c r="A65" s="1" t="s">
        <v>18</v>
      </c>
      <c r="B65" s="1" t="s">
        <v>19</v>
      </c>
      <c r="C65" s="1" t="s">
        <v>140</v>
      </c>
      <c r="D65" s="1" t="s">
        <v>175</v>
      </c>
      <c r="E65" s="1" t="s">
        <v>21</v>
      </c>
      <c r="F65" s="1" t="s">
        <v>176</v>
      </c>
      <c r="G65" s="1" t="s">
        <v>112</v>
      </c>
      <c r="H65" s="1" t="s">
        <v>53</v>
      </c>
      <c r="I65" s="1" t="s">
        <v>177</v>
      </c>
      <c r="J65">
        <v>1035</v>
      </c>
      <c r="K65" s="9">
        <v>9.7387200217000005E-4</v>
      </c>
      <c r="L65" s="9">
        <v>0.38551123105000001</v>
      </c>
      <c r="M65">
        <v>409709</v>
      </c>
      <c r="N65">
        <v>480584</v>
      </c>
      <c r="O65" s="9">
        <v>0.45220029207000001</v>
      </c>
      <c r="P65" s="11">
        <f>Telengana_Reaults_2019[[#This Row],[BJP Votes]]-Telengana_Reaults_2019[[#This Row],[Max Votes Other than BJP]]</f>
        <v>70875</v>
      </c>
      <c r="Q65" s="9">
        <f>Telengana_Reaults_2019[[#This Row],[BJP Vote Share]]-Telengana_Reaults_2019[[#This Row],[Max Votes Share other than BJP]]</f>
        <v>6.6689061019999996E-2</v>
      </c>
      <c r="R65">
        <v>1062768</v>
      </c>
      <c r="S65">
        <v>1553385</v>
      </c>
      <c r="T65" s="10">
        <v>0.68416265123999997</v>
      </c>
      <c r="U65" s="1" t="s">
        <v>26</v>
      </c>
    </row>
    <row r="66" spans="1:21" x14ac:dyDescent="0.35">
      <c r="A66" s="1" t="s">
        <v>18</v>
      </c>
      <c r="B66" s="1" t="s">
        <v>19</v>
      </c>
      <c r="C66" s="1" t="s">
        <v>140</v>
      </c>
      <c r="D66" s="1" t="s">
        <v>178</v>
      </c>
      <c r="E66" s="1" t="s">
        <v>21</v>
      </c>
      <c r="F66" s="1" t="s">
        <v>71</v>
      </c>
      <c r="G66" s="1" t="s">
        <v>112</v>
      </c>
      <c r="H66" s="1" t="s">
        <v>53</v>
      </c>
      <c r="I66" s="1" t="s">
        <v>179</v>
      </c>
      <c r="J66">
        <v>366</v>
      </c>
      <c r="K66" s="9">
        <v>3.4438372250999999E-4</v>
      </c>
      <c r="L66" s="9">
        <v>0.38551123105000001</v>
      </c>
      <c r="M66">
        <v>409709</v>
      </c>
      <c r="N66">
        <v>480584</v>
      </c>
      <c r="O66" s="9">
        <v>0.45220029207000001</v>
      </c>
      <c r="P66" s="11">
        <f>Telengana_Reaults_2019[[#This Row],[BJP Votes]]-Telengana_Reaults_2019[[#This Row],[Max Votes Other than BJP]]</f>
        <v>70875</v>
      </c>
      <c r="Q66" s="9">
        <f>Telengana_Reaults_2019[[#This Row],[BJP Vote Share]]-Telengana_Reaults_2019[[#This Row],[Max Votes Share other than BJP]]</f>
        <v>6.6689061019999996E-2</v>
      </c>
      <c r="R66">
        <v>1062768</v>
      </c>
      <c r="S66">
        <v>1553385</v>
      </c>
      <c r="T66" s="10">
        <v>0.68416265123999997</v>
      </c>
      <c r="U66" s="1" t="s">
        <v>26</v>
      </c>
    </row>
    <row r="67" spans="1:21" x14ac:dyDescent="0.35">
      <c r="A67" s="1" t="s">
        <v>18</v>
      </c>
      <c r="B67" s="1" t="s">
        <v>19</v>
      </c>
      <c r="C67" s="1" t="s">
        <v>140</v>
      </c>
      <c r="D67" s="1" t="s">
        <v>180</v>
      </c>
      <c r="E67" s="1" t="s">
        <v>21</v>
      </c>
      <c r="F67" s="1" t="s">
        <v>95</v>
      </c>
      <c r="G67" s="1" t="s">
        <v>112</v>
      </c>
      <c r="H67" s="1" t="s">
        <v>53</v>
      </c>
      <c r="I67" s="1" t="s">
        <v>181</v>
      </c>
      <c r="J67">
        <v>243</v>
      </c>
      <c r="K67" s="9">
        <v>2.2864820920000001E-4</v>
      </c>
      <c r="L67" s="9">
        <v>0.38551123105000001</v>
      </c>
      <c r="M67">
        <v>409709</v>
      </c>
      <c r="N67">
        <v>480584</v>
      </c>
      <c r="O67" s="9">
        <v>0.45220029207000001</v>
      </c>
      <c r="P67" s="11">
        <f>Telengana_Reaults_2019[[#This Row],[BJP Votes]]-Telengana_Reaults_2019[[#This Row],[Max Votes Other than BJP]]</f>
        <v>70875</v>
      </c>
      <c r="Q67" s="9">
        <f>Telengana_Reaults_2019[[#This Row],[BJP Vote Share]]-Telengana_Reaults_2019[[#This Row],[Max Votes Share other than BJP]]</f>
        <v>6.6689061019999996E-2</v>
      </c>
      <c r="R67">
        <v>1062768</v>
      </c>
      <c r="S67">
        <v>1553385</v>
      </c>
      <c r="T67" s="10">
        <v>0.68416265123999997</v>
      </c>
      <c r="U67" s="1" t="s">
        <v>26</v>
      </c>
    </row>
    <row r="68" spans="1:21" x14ac:dyDescent="0.35">
      <c r="A68" s="1" t="s">
        <v>18</v>
      </c>
      <c r="B68" s="1" t="s">
        <v>19</v>
      </c>
      <c r="C68" s="1" t="s">
        <v>140</v>
      </c>
      <c r="D68" s="1" t="s">
        <v>182</v>
      </c>
      <c r="E68" s="1" t="s">
        <v>21</v>
      </c>
      <c r="F68" s="1" t="s">
        <v>183</v>
      </c>
      <c r="G68" s="1" t="s">
        <v>112</v>
      </c>
      <c r="H68" s="1" t="s">
        <v>53</v>
      </c>
      <c r="I68" s="1" t="s">
        <v>184</v>
      </c>
      <c r="J68">
        <v>1189</v>
      </c>
      <c r="K68" s="9">
        <v>1.1187766286000001E-3</v>
      </c>
      <c r="L68" s="9">
        <v>0.38551123105000001</v>
      </c>
      <c r="M68">
        <v>409709</v>
      </c>
      <c r="N68">
        <v>480584</v>
      </c>
      <c r="O68" s="9">
        <v>0.45220029207000001</v>
      </c>
      <c r="P68" s="11">
        <f>Telengana_Reaults_2019[[#This Row],[BJP Votes]]-Telengana_Reaults_2019[[#This Row],[Max Votes Other than BJP]]</f>
        <v>70875</v>
      </c>
      <c r="Q68" s="9">
        <f>Telengana_Reaults_2019[[#This Row],[BJP Vote Share]]-Telengana_Reaults_2019[[#This Row],[Max Votes Share other than BJP]]</f>
        <v>6.6689061019999996E-2</v>
      </c>
      <c r="R68">
        <v>1062768</v>
      </c>
      <c r="S68">
        <v>1553385</v>
      </c>
      <c r="T68" s="10">
        <v>0.68416265123999997</v>
      </c>
      <c r="U68" s="1" t="s">
        <v>26</v>
      </c>
    </row>
    <row r="69" spans="1:21" x14ac:dyDescent="0.35">
      <c r="A69" s="1" t="s">
        <v>18</v>
      </c>
      <c r="B69" s="1" t="s">
        <v>19</v>
      </c>
      <c r="C69" s="1" t="s">
        <v>140</v>
      </c>
      <c r="D69" s="1" t="s">
        <v>185</v>
      </c>
      <c r="E69" s="1" t="s">
        <v>21</v>
      </c>
      <c r="F69" s="1" t="s">
        <v>75</v>
      </c>
      <c r="G69" s="1" t="s">
        <v>112</v>
      </c>
      <c r="H69" s="1" t="s">
        <v>53</v>
      </c>
      <c r="I69" s="1" t="s">
        <v>186</v>
      </c>
      <c r="J69">
        <v>366</v>
      </c>
      <c r="K69" s="9">
        <v>3.4438372250999999E-4</v>
      </c>
      <c r="L69" s="9">
        <v>0.38551123105000001</v>
      </c>
      <c r="M69">
        <v>409709</v>
      </c>
      <c r="N69">
        <v>480584</v>
      </c>
      <c r="O69" s="9">
        <v>0.45220029207000001</v>
      </c>
      <c r="P69" s="11">
        <f>Telengana_Reaults_2019[[#This Row],[BJP Votes]]-Telengana_Reaults_2019[[#This Row],[Max Votes Other than BJP]]</f>
        <v>70875</v>
      </c>
      <c r="Q69" s="9">
        <f>Telengana_Reaults_2019[[#This Row],[BJP Vote Share]]-Telengana_Reaults_2019[[#This Row],[Max Votes Share other than BJP]]</f>
        <v>6.6689061019999996E-2</v>
      </c>
      <c r="R69">
        <v>1062768</v>
      </c>
      <c r="S69">
        <v>1553385</v>
      </c>
      <c r="T69" s="10">
        <v>0.68416265123999997</v>
      </c>
      <c r="U69" s="1" t="s">
        <v>26</v>
      </c>
    </row>
    <row r="70" spans="1:21" x14ac:dyDescent="0.35">
      <c r="A70" s="1" t="s">
        <v>18</v>
      </c>
      <c r="B70" s="1" t="s">
        <v>19</v>
      </c>
      <c r="C70" s="1" t="s">
        <v>140</v>
      </c>
      <c r="D70" s="1" t="s">
        <v>187</v>
      </c>
      <c r="E70" s="1" t="s">
        <v>21</v>
      </c>
      <c r="F70" s="1" t="s">
        <v>66</v>
      </c>
      <c r="G70" s="1" t="s">
        <v>112</v>
      </c>
      <c r="H70" s="1" t="s">
        <v>53</v>
      </c>
      <c r="I70" s="1" t="s">
        <v>188</v>
      </c>
      <c r="J70">
        <v>233</v>
      </c>
      <c r="K70" s="9">
        <v>2.1923881787999999E-4</v>
      </c>
      <c r="L70" s="9">
        <v>0.38551123105000001</v>
      </c>
      <c r="M70">
        <v>409709</v>
      </c>
      <c r="N70">
        <v>480584</v>
      </c>
      <c r="O70" s="9">
        <v>0.45220029207000001</v>
      </c>
      <c r="P70" s="11">
        <f>Telengana_Reaults_2019[[#This Row],[BJP Votes]]-Telengana_Reaults_2019[[#This Row],[Max Votes Other than BJP]]</f>
        <v>70875</v>
      </c>
      <c r="Q70" s="9">
        <f>Telengana_Reaults_2019[[#This Row],[BJP Vote Share]]-Telengana_Reaults_2019[[#This Row],[Max Votes Share other than BJP]]</f>
        <v>6.6689061019999996E-2</v>
      </c>
      <c r="R70">
        <v>1062768</v>
      </c>
      <c r="S70">
        <v>1553385</v>
      </c>
      <c r="T70" s="10">
        <v>0.68416265123999997</v>
      </c>
      <c r="U70" s="1" t="s">
        <v>26</v>
      </c>
    </row>
    <row r="71" spans="1:21" x14ac:dyDescent="0.35">
      <c r="A71" s="1" t="s">
        <v>18</v>
      </c>
      <c r="B71" s="1" t="s">
        <v>19</v>
      </c>
      <c r="C71" s="1" t="s">
        <v>140</v>
      </c>
      <c r="D71" s="1" t="s">
        <v>189</v>
      </c>
      <c r="E71" s="1" t="s">
        <v>21</v>
      </c>
      <c r="F71" s="1" t="s">
        <v>80</v>
      </c>
      <c r="G71" s="1" t="s">
        <v>112</v>
      </c>
      <c r="H71" s="1" t="s">
        <v>53</v>
      </c>
      <c r="I71" s="1" t="s">
        <v>190</v>
      </c>
      <c r="J71">
        <v>238</v>
      </c>
      <c r="K71" s="9">
        <v>2.2394351353999999E-4</v>
      </c>
      <c r="L71" s="9">
        <v>0.38551123105000001</v>
      </c>
      <c r="M71">
        <v>409709</v>
      </c>
      <c r="N71">
        <v>480584</v>
      </c>
      <c r="O71" s="9">
        <v>0.45220029207000001</v>
      </c>
      <c r="P71" s="11">
        <f>Telengana_Reaults_2019[[#This Row],[BJP Votes]]-Telengana_Reaults_2019[[#This Row],[Max Votes Other than BJP]]</f>
        <v>70875</v>
      </c>
      <c r="Q71" s="9">
        <f>Telengana_Reaults_2019[[#This Row],[BJP Vote Share]]-Telengana_Reaults_2019[[#This Row],[Max Votes Share other than BJP]]</f>
        <v>6.6689061019999996E-2</v>
      </c>
      <c r="R71">
        <v>1062768</v>
      </c>
      <c r="S71">
        <v>1553385</v>
      </c>
      <c r="T71" s="10">
        <v>0.68416265123999997</v>
      </c>
      <c r="U71" s="1" t="s">
        <v>26</v>
      </c>
    </row>
    <row r="72" spans="1:21" x14ac:dyDescent="0.35">
      <c r="A72" s="1" t="s">
        <v>18</v>
      </c>
      <c r="B72" s="1" t="s">
        <v>19</v>
      </c>
      <c r="C72" s="1" t="s">
        <v>140</v>
      </c>
      <c r="D72" s="1" t="s">
        <v>191</v>
      </c>
      <c r="E72" s="1" t="s">
        <v>21</v>
      </c>
      <c r="F72" s="1" t="s">
        <v>36</v>
      </c>
      <c r="G72" s="1" t="s">
        <v>112</v>
      </c>
      <c r="H72" s="1" t="s">
        <v>53</v>
      </c>
      <c r="I72" s="1" t="s">
        <v>192</v>
      </c>
      <c r="J72">
        <v>1365</v>
      </c>
      <c r="K72" s="9">
        <v>1.2843819159E-3</v>
      </c>
      <c r="L72" s="9">
        <v>0.38551123105000001</v>
      </c>
      <c r="M72">
        <v>409709</v>
      </c>
      <c r="N72">
        <v>480584</v>
      </c>
      <c r="O72" s="9">
        <v>0.45220029207000001</v>
      </c>
      <c r="P72" s="11">
        <f>Telengana_Reaults_2019[[#This Row],[BJP Votes]]-Telengana_Reaults_2019[[#This Row],[Max Votes Other than BJP]]</f>
        <v>70875</v>
      </c>
      <c r="Q72" s="9">
        <f>Telengana_Reaults_2019[[#This Row],[BJP Vote Share]]-Telengana_Reaults_2019[[#This Row],[Max Votes Share other than BJP]]</f>
        <v>6.6689061019999996E-2</v>
      </c>
      <c r="R72">
        <v>1062768</v>
      </c>
      <c r="S72">
        <v>1553385</v>
      </c>
      <c r="T72" s="10">
        <v>0.68416265123999997</v>
      </c>
      <c r="U72" s="1" t="s">
        <v>26</v>
      </c>
    </row>
    <row r="73" spans="1:21" x14ac:dyDescent="0.35">
      <c r="A73" s="1" t="s">
        <v>18</v>
      </c>
      <c r="B73" s="1" t="s">
        <v>19</v>
      </c>
      <c r="C73" s="1" t="s">
        <v>140</v>
      </c>
      <c r="D73" s="1" t="s">
        <v>193</v>
      </c>
      <c r="E73" s="1" t="s">
        <v>21</v>
      </c>
      <c r="F73" s="1" t="s">
        <v>143</v>
      </c>
      <c r="G73" s="1" t="s">
        <v>112</v>
      </c>
      <c r="H73" s="1" t="s">
        <v>53</v>
      </c>
      <c r="I73" s="1" t="s">
        <v>194</v>
      </c>
      <c r="J73">
        <v>337</v>
      </c>
      <c r="K73" s="9">
        <v>3.1709648766E-4</v>
      </c>
      <c r="L73" s="9">
        <v>0.38551123105000001</v>
      </c>
      <c r="M73">
        <v>409709</v>
      </c>
      <c r="N73">
        <v>480584</v>
      </c>
      <c r="O73" s="9">
        <v>0.45220029207000001</v>
      </c>
      <c r="P73" s="11">
        <f>Telengana_Reaults_2019[[#This Row],[BJP Votes]]-Telengana_Reaults_2019[[#This Row],[Max Votes Other than BJP]]</f>
        <v>70875</v>
      </c>
      <c r="Q73" s="9">
        <f>Telengana_Reaults_2019[[#This Row],[BJP Vote Share]]-Telengana_Reaults_2019[[#This Row],[Max Votes Share other than BJP]]</f>
        <v>6.6689061019999996E-2</v>
      </c>
      <c r="R73">
        <v>1062768</v>
      </c>
      <c r="S73">
        <v>1553385</v>
      </c>
      <c r="T73" s="10">
        <v>0.68416265123999997</v>
      </c>
      <c r="U73" s="1" t="s">
        <v>26</v>
      </c>
    </row>
    <row r="74" spans="1:21" x14ac:dyDescent="0.35">
      <c r="A74" s="1" t="s">
        <v>18</v>
      </c>
      <c r="B74" s="1" t="s">
        <v>19</v>
      </c>
      <c r="C74" s="1" t="s">
        <v>140</v>
      </c>
      <c r="D74" s="1" t="s">
        <v>195</v>
      </c>
      <c r="E74" s="1" t="s">
        <v>21</v>
      </c>
      <c r="F74" s="1" t="s">
        <v>48</v>
      </c>
      <c r="G74" s="1" t="s">
        <v>112</v>
      </c>
      <c r="H74" s="1" t="s">
        <v>53</v>
      </c>
      <c r="I74" s="1" t="s">
        <v>196</v>
      </c>
      <c r="J74">
        <v>250</v>
      </c>
      <c r="K74" s="9">
        <v>2.3523478312999999E-4</v>
      </c>
      <c r="L74" s="9">
        <v>0.38551123105000001</v>
      </c>
      <c r="M74">
        <v>409709</v>
      </c>
      <c r="N74">
        <v>480584</v>
      </c>
      <c r="O74" s="9">
        <v>0.45220029207000001</v>
      </c>
      <c r="P74" s="11">
        <f>Telengana_Reaults_2019[[#This Row],[BJP Votes]]-Telengana_Reaults_2019[[#This Row],[Max Votes Other than BJP]]</f>
        <v>70875</v>
      </c>
      <c r="Q74" s="9">
        <f>Telengana_Reaults_2019[[#This Row],[BJP Vote Share]]-Telengana_Reaults_2019[[#This Row],[Max Votes Share other than BJP]]</f>
        <v>6.6689061019999996E-2</v>
      </c>
      <c r="R74">
        <v>1062768</v>
      </c>
      <c r="S74">
        <v>1553385</v>
      </c>
      <c r="T74" s="10">
        <v>0.68416265123999997</v>
      </c>
      <c r="U74" s="1" t="s">
        <v>26</v>
      </c>
    </row>
    <row r="75" spans="1:21" x14ac:dyDescent="0.35">
      <c r="A75" s="1" t="s">
        <v>18</v>
      </c>
      <c r="B75" s="1" t="s">
        <v>19</v>
      </c>
      <c r="C75" s="1" t="s">
        <v>140</v>
      </c>
      <c r="D75" s="1" t="s">
        <v>197</v>
      </c>
      <c r="E75" s="1" t="s">
        <v>21</v>
      </c>
      <c r="F75" s="1" t="s">
        <v>56</v>
      </c>
      <c r="G75" s="1" t="s">
        <v>112</v>
      </c>
      <c r="H75" s="1" t="s">
        <v>53</v>
      </c>
      <c r="I75" s="1" t="s">
        <v>198</v>
      </c>
      <c r="J75">
        <v>1142</v>
      </c>
      <c r="K75" s="9">
        <v>1.0745524892999999E-3</v>
      </c>
      <c r="L75" s="9">
        <v>0.38551123105000001</v>
      </c>
      <c r="M75">
        <v>409709</v>
      </c>
      <c r="N75">
        <v>480584</v>
      </c>
      <c r="O75" s="9">
        <v>0.45220029207000001</v>
      </c>
      <c r="P75" s="11">
        <f>Telengana_Reaults_2019[[#This Row],[BJP Votes]]-Telengana_Reaults_2019[[#This Row],[Max Votes Other than BJP]]</f>
        <v>70875</v>
      </c>
      <c r="Q75" s="9">
        <f>Telengana_Reaults_2019[[#This Row],[BJP Vote Share]]-Telengana_Reaults_2019[[#This Row],[Max Votes Share other than BJP]]</f>
        <v>6.6689061019999996E-2</v>
      </c>
      <c r="R75">
        <v>1062768</v>
      </c>
      <c r="S75">
        <v>1553385</v>
      </c>
      <c r="T75" s="10">
        <v>0.68416265123999997</v>
      </c>
      <c r="U75" s="1" t="s">
        <v>26</v>
      </c>
    </row>
    <row r="76" spans="1:21" x14ac:dyDescent="0.35">
      <c r="A76" s="1" t="s">
        <v>18</v>
      </c>
      <c r="B76" s="1" t="s">
        <v>19</v>
      </c>
      <c r="C76" s="1" t="s">
        <v>140</v>
      </c>
      <c r="D76" s="1" t="s">
        <v>199</v>
      </c>
      <c r="E76" s="1" t="s">
        <v>21</v>
      </c>
      <c r="F76" s="1" t="s">
        <v>200</v>
      </c>
      <c r="G76" s="1" t="s">
        <v>112</v>
      </c>
      <c r="H76" s="1" t="s">
        <v>53</v>
      </c>
      <c r="I76" s="1" t="s">
        <v>201</v>
      </c>
      <c r="J76">
        <v>329</v>
      </c>
      <c r="K76" s="9">
        <v>3.0956897460000002E-4</v>
      </c>
      <c r="L76" s="9">
        <v>0.38551123105000001</v>
      </c>
      <c r="M76">
        <v>409709</v>
      </c>
      <c r="N76">
        <v>480584</v>
      </c>
      <c r="O76" s="9">
        <v>0.45220029207000001</v>
      </c>
      <c r="P76" s="11">
        <f>Telengana_Reaults_2019[[#This Row],[BJP Votes]]-Telengana_Reaults_2019[[#This Row],[Max Votes Other than BJP]]</f>
        <v>70875</v>
      </c>
      <c r="Q76" s="9">
        <f>Telengana_Reaults_2019[[#This Row],[BJP Vote Share]]-Telengana_Reaults_2019[[#This Row],[Max Votes Share other than BJP]]</f>
        <v>6.6689061019999996E-2</v>
      </c>
      <c r="R76">
        <v>1062768</v>
      </c>
      <c r="S76">
        <v>1553385</v>
      </c>
      <c r="T76" s="10">
        <v>0.68416265123999997</v>
      </c>
      <c r="U76" s="1" t="s">
        <v>26</v>
      </c>
    </row>
    <row r="77" spans="1:21" x14ac:dyDescent="0.35">
      <c r="A77" s="1" t="s">
        <v>18</v>
      </c>
      <c r="B77" s="1" t="s">
        <v>19</v>
      </c>
      <c r="C77" s="1" t="s">
        <v>140</v>
      </c>
      <c r="D77" s="1" t="s">
        <v>202</v>
      </c>
      <c r="E77" s="1" t="s">
        <v>21</v>
      </c>
      <c r="F77" s="1" t="s">
        <v>48</v>
      </c>
      <c r="G77" s="1" t="s">
        <v>67</v>
      </c>
      <c r="H77" s="1" t="s">
        <v>53</v>
      </c>
      <c r="I77" s="1" t="s">
        <v>203</v>
      </c>
      <c r="J77">
        <v>494</v>
      </c>
      <c r="K77" s="9">
        <v>4.6482393146999999E-4</v>
      </c>
      <c r="L77" s="9">
        <v>0.38551123105000001</v>
      </c>
      <c r="M77">
        <v>409709</v>
      </c>
      <c r="N77">
        <v>480584</v>
      </c>
      <c r="O77" s="9">
        <v>0.45220029207000001</v>
      </c>
      <c r="P77" s="11">
        <f>Telengana_Reaults_2019[[#This Row],[BJP Votes]]-Telengana_Reaults_2019[[#This Row],[Max Votes Other than BJP]]</f>
        <v>70875</v>
      </c>
      <c r="Q77" s="9">
        <f>Telengana_Reaults_2019[[#This Row],[BJP Vote Share]]-Telengana_Reaults_2019[[#This Row],[Max Votes Share other than BJP]]</f>
        <v>6.6689061019999996E-2</v>
      </c>
      <c r="R77">
        <v>1062768</v>
      </c>
      <c r="S77">
        <v>1553385</v>
      </c>
      <c r="T77" s="10">
        <v>0.68416265123999997</v>
      </c>
      <c r="U77" s="1" t="s">
        <v>26</v>
      </c>
    </row>
    <row r="78" spans="1:21" x14ac:dyDescent="0.35">
      <c r="A78" s="1" t="s">
        <v>18</v>
      </c>
      <c r="B78" s="1" t="s">
        <v>19</v>
      </c>
      <c r="C78" s="1" t="s">
        <v>140</v>
      </c>
      <c r="D78" s="1" t="s">
        <v>204</v>
      </c>
      <c r="E78" s="1" t="s">
        <v>21</v>
      </c>
      <c r="F78" s="1" t="s">
        <v>205</v>
      </c>
      <c r="G78" s="1" t="s">
        <v>112</v>
      </c>
      <c r="H78" s="1" t="s">
        <v>53</v>
      </c>
      <c r="I78" s="1" t="s">
        <v>206</v>
      </c>
      <c r="J78">
        <v>1439</v>
      </c>
      <c r="K78" s="9">
        <v>1.3540114117000001E-3</v>
      </c>
      <c r="L78" s="9">
        <v>0.38551123105000001</v>
      </c>
      <c r="M78">
        <v>409709</v>
      </c>
      <c r="N78">
        <v>480584</v>
      </c>
      <c r="O78" s="9">
        <v>0.45220029207000001</v>
      </c>
      <c r="P78" s="11">
        <f>Telengana_Reaults_2019[[#This Row],[BJP Votes]]-Telengana_Reaults_2019[[#This Row],[Max Votes Other than BJP]]</f>
        <v>70875</v>
      </c>
      <c r="Q78" s="9">
        <f>Telengana_Reaults_2019[[#This Row],[BJP Vote Share]]-Telengana_Reaults_2019[[#This Row],[Max Votes Share other than BJP]]</f>
        <v>6.6689061019999996E-2</v>
      </c>
      <c r="R78">
        <v>1062768</v>
      </c>
      <c r="S78">
        <v>1553385</v>
      </c>
      <c r="T78" s="10">
        <v>0.68416265123999997</v>
      </c>
      <c r="U78" s="1" t="s">
        <v>26</v>
      </c>
    </row>
    <row r="79" spans="1:21" x14ac:dyDescent="0.35">
      <c r="A79" s="1" t="s">
        <v>18</v>
      </c>
      <c r="B79" s="1" t="s">
        <v>19</v>
      </c>
      <c r="C79" s="1" t="s">
        <v>140</v>
      </c>
      <c r="D79" s="1" t="s">
        <v>207</v>
      </c>
      <c r="E79" s="1" t="s">
        <v>21</v>
      </c>
      <c r="F79" s="1" t="s">
        <v>80</v>
      </c>
      <c r="G79" s="1" t="s">
        <v>112</v>
      </c>
      <c r="H79" s="1" t="s">
        <v>53</v>
      </c>
      <c r="I79" s="1" t="s">
        <v>208</v>
      </c>
      <c r="J79">
        <v>2535</v>
      </c>
      <c r="K79" s="9">
        <v>2.3852807009999998E-3</v>
      </c>
      <c r="L79" s="9">
        <v>0.38551123105000001</v>
      </c>
      <c r="M79">
        <v>409709</v>
      </c>
      <c r="N79">
        <v>480584</v>
      </c>
      <c r="O79" s="9">
        <v>0.45220029207000001</v>
      </c>
      <c r="P79" s="11">
        <f>Telengana_Reaults_2019[[#This Row],[BJP Votes]]-Telengana_Reaults_2019[[#This Row],[Max Votes Other than BJP]]</f>
        <v>70875</v>
      </c>
      <c r="Q79" s="9">
        <f>Telengana_Reaults_2019[[#This Row],[BJP Vote Share]]-Telengana_Reaults_2019[[#This Row],[Max Votes Share other than BJP]]</f>
        <v>6.6689061019999996E-2</v>
      </c>
      <c r="R79">
        <v>1062768</v>
      </c>
      <c r="S79">
        <v>1553385</v>
      </c>
      <c r="T79" s="10">
        <v>0.68416265123999997</v>
      </c>
      <c r="U79" s="1" t="s">
        <v>26</v>
      </c>
    </row>
    <row r="80" spans="1:21" x14ac:dyDescent="0.35">
      <c r="A80" s="1" t="s">
        <v>18</v>
      </c>
      <c r="B80" s="1" t="s">
        <v>19</v>
      </c>
      <c r="C80" s="1" t="s">
        <v>140</v>
      </c>
      <c r="D80" s="1" t="s">
        <v>209</v>
      </c>
      <c r="E80" s="1" t="s">
        <v>21</v>
      </c>
      <c r="F80" s="1" t="s">
        <v>155</v>
      </c>
      <c r="G80" s="1" t="s">
        <v>112</v>
      </c>
      <c r="H80" s="1" t="s">
        <v>53</v>
      </c>
      <c r="I80" s="1" t="s">
        <v>210</v>
      </c>
      <c r="J80">
        <v>625</v>
      </c>
      <c r="K80" s="9">
        <v>5.8808695783000003E-4</v>
      </c>
      <c r="L80" s="9">
        <v>0.38551123105000001</v>
      </c>
      <c r="M80">
        <v>409709</v>
      </c>
      <c r="N80">
        <v>480584</v>
      </c>
      <c r="O80" s="9">
        <v>0.45220029207000001</v>
      </c>
      <c r="P80" s="11">
        <f>Telengana_Reaults_2019[[#This Row],[BJP Votes]]-Telengana_Reaults_2019[[#This Row],[Max Votes Other than BJP]]</f>
        <v>70875</v>
      </c>
      <c r="Q80" s="9">
        <f>Telengana_Reaults_2019[[#This Row],[BJP Vote Share]]-Telengana_Reaults_2019[[#This Row],[Max Votes Share other than BJP]]</f>
        <v>6.6689061019999996E-2</v>
      </c>
      <c r="R80">
        <v>1062768</v>
      </c>
      <c r="S80">
        <v>1553385</v>
      </c>
      <c r="T80" s="10">
        <v>0.68416265123999997</v>
      </c>
      <c r="U80" s="1" t="s">
        <v>26</v>
      </c>
    </row>
    <row r="81" spans="1:21" x14ac:dyDescent="0.35">
      <c r="A81" s="1" t="s">
        <v>18</v>
      </c>
      <c r="B81" s="1" t="s">
        <v>19</v>
      </c>
      <c r="C81" s="1" t="s">
        <v>140</v>
      </c>
      <c r="D81" s="1" t="s">
        <v>211</v>
      </c>
      <c r="E81" s="1" t="s">
        <v>21</v>
      </c>
      <c r="F81" s="1" t="s">
        <v>56</v>
      </c>
      <c r="G81" s="1" t="s">
        <v>112</v>
      </c>
      <c r="H81" s="1" t="s">
        <v>53</v>
      </c>
      <c r="I81" s="1" t="s">
        <v>212</v>
      </c>
      <c r="J81">
        <v>351</v>
      </c>
      <c r="K81" s="9">
        <v>3.3026963552000002E-4</v>
      </c>
      <c r="L81" s="9">
        <v>0.38551123105000001</v>
      </c>
      <c r="M81">
        <v>409709</v>
      </c>
      <c r="N81">
        <v>480584</v>
      </c>
      <c r="O81" s="9">
        <v>0.45220029207000001</v>
      </c>
      <c r="P81" s="11">
        <f>Telengana_Reaults_2019[[#This Row],[BJP Votes]]-Telengana_Reaults_2019[[#This Row],[Max Votes Other than BJP]]</f>
        <v>70875</v>
      </c>
      <c r="Q81" s="9">
        <f>Telengana_Reaults_2019[[#This Row],[BJP Vote Share]]-Telengana_Reaults_2019[[#This Row],[Max Votes Share other than BJP]]</f>
        <v>6.6689061019999996E-2</v>
      </c>
      <c r="R81">
        <v>1062768</v>
      </c>
      <c r="S81">
        <v>1553385</v>
      </c>
      <c r="T81" s="10">
        <v>0.68416265123999997</v>
      </c>
      <c r="U81" s="1" t="s">
        <v>26</v>
      </c>
    </row>
    <row r="82" spans="1:21" x14ac:dyDescent="0.35">
      <c r="A82" s="1" t="s">
        <v>18</v>
      </c>
      <c r="B82" s="1" t="s">
        <v>19</v>
      </c>
      <c r="C82" s="1" t="s">
        <v>140</v>
      </c>
      <c r="D82" s="1" t="s">
        <v>213</v>
      </c>
      <c r="E82" s="1" t="s">
        <v>21</v>
      </c>
      <c r="F82" s="1" t="s">
        <v>160</v>
      </c>
      <c r="G82" s="1" t="s">
        <v>112</v>
      </c>
      <c r="H82" s="1" t="s">
        <v>53</v>
      </c>
      <c r="I82" s="1" t="s">
        <v>214</v>
      </c>
      <c r="J82">
        <v>241</v>
      </c>
      <c r="K82" s="9">
        <v>2.2676633094E-4</v>
      </c>
      <c r="L82" s="9">
        <v>0.38551123105000001</v>
      </c>
      <c r="M82">
        <v>409709</v>
      </c>
      <c r="N82">
        <v>480584</v>
      </c>
      <c r="O82" s="9">
        <v>0.45220029207000001</v>
      </c>
      <c r="P82" s="11">
        <f>Telengana_Reaults_2019[[#This Row],[BJP Votes]]-Telengana_Reaults_2019[[#This Row],[Max Votes Other than BJP]]</f>
        <v>70875</v>
      </c>
      <c r="Q82" s="9">
        <f>Telengana_Reaults_2019[[#This Row],[BJP Vote Share]]-Telengana_Reaults_2019[[#This Row],[Max Votes Share other than BJP]]</f>
        <v>6.6689061019999996E-2</v>
      </c>
      <c r="R82">
        <v>1062768</v>
      </c>
      <c r="S82">
        <v>1553385</v>
      </c>
      <c r="T82" s="10">
        <v>0.68416265123999997</v>
      </c>
      <c r="U82" s="1" t="s">
        <v>26</v>
      </c>
    </row>
    <row r="83" spans="1:21" x14ac:dyDescent="0.35">
      <c r="A83" s="1" t="s">
        <v>18</v>
      </c>
      <c r="B83" s="1" t="s">
        <v>19</v>
      </c>
      <c r="C83" s="1" t="s">
        <v>140</v>
      </c>
      <c r="D83" s="1" t="s">
        <v>215</v>
      </c>
      <c r="E83" s="1" t="s">
        <v>21</v>
      </c>
      <c r="F83" s="1" t="s">
        <v>115</v>
      </c>
      <c r="G83" s="1" t="s">
        <v>112</v>
      </c>
      <c r="H83" s="1" t="s">
        <v>53</v>
      </c>
      <c r="I83" s="1" t="s">
        <v>216</v>
      </c>
      <c r="J83">
        <v>286</v>
      </c>
      <c r="K83" s="9">
        <v>2.6910859189999999E-4</v>
      </c>
      <c r="L83" s="9">
        <v>0.38551123105000001</v>
      </c>
      <c r="M83">
        <v>409709</v>
      </c>
      <c r="N83">
        <v>480584</v>
      </c>
      <c r="O83" s="9">
        <v>0.45220029207000001</v>
      </c>
      <c r="P83" s="11">
        <f>Telengana_Reaults_2019[[#This Row],[BJP Votes]]-Telengana_Reaults_2019[[#This Row],[Max Votes Other than BJP]]</f>
        <v>70875</v>
      </c>
      <c r="Q83" s="9">
        <f>Telengana_Reaults_2019[[#This Row],[BJP Vote Share]]-Telengana_Reaults_2019[[#This Row],[Max Votes Share other than BJP]]</f>
        <v>6.6689061019999996E-2</v>
      </c>
      <c r="R83">
        <v>1062768</v>
      </c>
      <c r="S83">
        <v>1553385</v>
      </c>
      <c r="T83" s="10">
        <v>0.68416265123999997</v>
      </c>
      <c r="U83" s="1" t="s">
        <v>26</v>
      </c>
    </row>
    <row r="84" spans="1:21" x14ac:dyDescent="0.35">
      <c r="A84" s="1" t="s">
        <v>18</v>
      </c>
      <c r="B84" s="1" t="s">
        <v>19</v>
      </c>
      <c r="C84" s="1" t="s">
        <v>140</v>
      </c>
      <c r="D84" s="1" t="s">
        <v>217</v>
      </c>
      <c r="E84" s="1" t="s">
        <v>21</v>
      </c>
      <c r="F84" s="1" t="s">
        <v>200</v>
      </c>
      <c r="G84" s="1" t="s">
        <v>112</v>
      </c>
      <c r="H84" s="1" t="s">
        <v>53</v>
      </c>
      <c r="I84" s="1" t="s">
        <v>218</v>
      </c>
      <c r="J84">
        <v>2089</v>
      </c>
      <c r="K84" s="9">
        <v>1.9656218479000001E-3</v>
      </c>
      <c r="L84" s="9">
        <v>0.38551123105000001</v>
      </c>
      <c r="M84">
        <v>409709</v>
      </c>
      <c r="N84">
        <v>480584</v>
      </c>
      <c r="O84" s="9">
        <v>0.45220029207000001</v>
      </c>
      <c r="P84" s="11">
        <f>Telengana_Reaults_2019[[#This Row],[BJP Votes]]-Telengana_Reaults_2019[[#This Row],[Max Votes Other than BJP]]</f>
        <v>70875</v>
      </c>
      <c r="Q84" s="9">
        <f>Telengana_Reaults_2019[[#This Row],[BJP Vote Share]]-Telengana_Reaults_2019[[#This Row],[Max Votes Share other than BJP]]</f>
        <v>6.6689061019999996E-2</v>
      </c>
      <c r="R84">
        <v>1062768</v>
      </c>
      <c r="S84">
        <v>1553385</v>
      </c>
      <c r="T84" s="10">
        <v>0.68416265123999997</v>
      </c>
      <c r="U84" s="1" t="s">
        <v>26</v>
      </c>
    </row>
    <row r="85" spans="1:21" x14ac:dyDescent="0.35">
      <c r="A85" s="1" t="s">
        <v>18</v>
      </c>
      <c r="B85" s="1" t="s">
        <v>19</v>
      </c>
      <c r="C85" s="1" t="s">
        <v>140</v>
      </c>
      <c r="D85" s="1" t="s">
        <v>219</v>
      </c>
      <c r="E85" s="1" t="s">
        <v>21</v>
      </c>
      <c r="F85" s="1" t="s">
        <v>155</v>
      </c>
      <c r="G85" s="1" t="s">
        <v>112</v>
      </c>
      <c r="H85" s="1" t="s">
        <v>53</v>
      </c>
      <c r="I85" s="1" t="s">
        <v>220</v>
      </c>
      <c r="J85">
        <v>183</v>
      </c>
      <c r="K85" s="9">
        <v>1.7219186125000001E-4</v>
      </c>
      <c r="L85" s="9">
        <v>0.38551123105000001</v>
      </c>
      <c r="M85">
        <v>409709</v>
      </c>
      <c r="N85">
        <v>480584</v>
      </c>
      <c r="O85" s="9">
        <v>0.45220029207000001</v>
      </c>
      <c r="P85" s="11">
        <f>Telengana_Reaults_2019[[#This Row],[BJP Votes]]-Telengana_Reaults_2019[[#This Row],[Max Votes Other than BJP]]</f>
        <v>70875</v>
      </c>
      <c r="Q85" s="9">
        <f>Telengana_Reaults_2019[[#This Row],[BJP Vote Share]]-Telengana_Reaults_2019[[#This Row],[Max Votes Share other than BJP]]</f>
        <v>6.6689061019999996E-2</v>
      </c>
      <c r="R85">
        <v>1062768</v>
      </c>
      <c r="S85">
        <v>1553385</v>
      </c>
      <c r="T85" s="10">
        <v>0.68416265123999997</v>
      </c>
      <c r="U85" s="1" t="s">
        <v>26</v>
      </c>
    </row>
    <row r="86" spans="1:21" x14ac:dyDescent="0.35">
      <c r="A86" s="1" t="s">
        <v>18</v>
      </c>
      <c r="B86" s="1" t="s">
        <v>19</v>
      </c>
      <c r="C86" s="1" t="s">
        <v>140</v>
      </c>
      <c r="D86" s="1" t="s">
        <v>221</v>
      </c>
      <c r="E86" s="1" t="s">
        <v>21</v>
      </c>
      <c r="F86" s="1" t="s">
        <v>40</v>
      </c>
      <c r="G86" s="1" t="s">
        <v>67</v>
      </c>
      <c r="H86" s="1" t="s">
        <v>53</v>
      </c>
      <c r="I86" s="1" t="s">
        <v>46</v>
      </c>
      <c r="J86">
        <v>209</v>
      </c>
      <c r="K86" s="9">
        <v>1.966562787E-4</v>
      </c>
      <c r="L86" s="9">
        <v>0.38551123105000001</v>
      </c>
      <c r="M86">
        <v>409709</v>
      </c>
      <c r="N86">
        <v>480584</v>
      </c>
      <c r="O86" s="9">
        <v>0.45220029207000001</v>
      </c>
      <c r="P86" s="11">
        <f>Telengana_Reaults_2019[[#This Row],[BJP Votes]]-Telengana_Reaults_2019[[#This Row],[Max Votes Other than BJP]]</f>
        <v>70875</v>
      </c>
      <c r="Q86" s="9">
        <f>Telengana_Reaults_2019[[#This Row],[BJP Vote Share]]-Telengana_Reaults_2019[[#This Row],[Max Votes Share other than BJP]]</f>
        <v>6.6689061019999996E-2</v>
      </c>
      <c r="R86">
        <v>1062768</v>
      </c>
      <c r="S86">
        <v>1553385</v>
      </c>
      <c r="T86" s="10">
        <v>0.68416265123999997</v>
      </c>
      <c r="U86" s="1" t="s">
        <v>26</v>
      </c>
    </row>
    <row r="87" spans="1:21" x14ac:dyDescent="0.35">
      <c r="A87" s="1" t="s">
        <v>18</v>
      </c>
      <c r="B87" s="1" t="s">
        <v>19</v>
      </c>
      <c r="C87" s="1" t="s">
        <v>140</v>
      </c>
      <c r="D87" s="1" t="s">
        <v>222</v>
      </c>
      <c r="E87" s="1" t="s">
        <v>21</v>
      </c>
      <c r="F87" s="1" t="s">
        <v>36</v>
      </c>
      <c r="G87" s="1" t="s">
        <v>112</v>
      </c>
      <c r="H87" s="1" t="s">
        <v>53</v>
      </c>
      <c r="I87" s="1" t="s">
        <v>223</v>
      </c>
      <c r="J87">
        <v>133</v>
      </c>
      <c r="K87" s="9">
        <v>1.2514490463E-4</v>
      </c>
      <c r="L87" s="9">
        <v>0.38551123105000001</v>
      </c>
      <c r="M87">
        <v>409709</v>
      </c>
      <c r="N87">
        <v>480584</v>
      </c>
      <c r="O87" s="9">
        <v>0.45220029207000001</v>
      </c>
      <c r="P87" s="11">
        <f>Telengana_Reaults_2019[[#This Row],[BJP Votes]]-Telengana_Reaults_2019[[#This Row],[Max Votes Other than BJP]]</f>
        <v>70875</v>
      </c>
      <c r="Q87" s="9">
        <f>Telengana_Reaults_2019[[#This Row],[BJP Vote Share]]-Telengana_Reaults_2019[[#This Row],[Max Votes Share other than BJP]]</f>
        <v>6.6689061019999996E-2</v>
      </c>
      <c r="R87">
        <v>1062768</v>
      </c>
      <c r="S87">
        <v>1553385</v>
      </c>
      <c r="T87" s="10">
        <v>0.68416265123999997</v>
      </c>
      <c r="U87" s="1" t="s">
        <v>26</v>
      </c>
    </row>
    <row r="88" spans="1:21" x14ac:dyDescent="0.35">
      <c r="A88" s="1" t="s">
        <v>18</v>
      </c>
      <c r="B88" s="1" t="s">
        <v>19</v>
      </c>
      <c r="C88" s="1" t="s">
        <v>140</v>
      </c>
      <c r="D88" s="1" t="s">
        <v>224</v>
      </c>
      <c r="E88" s="1" t="s">
        <v>21</v>
      </c>
      <c r="F88" s="1" t="s">
        <v>56</v>
      </c>
      <c r="G88" s="1" t="s">
        <v>112</v>
      </c>
      <c r="H88" s="1" t="s">
        <v>53</v>
      </c>
      <c r="I88" s="1" t="s">
        <v>225</v>
      </c>
      <c r="J88">
        <v>199</v>
      </c>
      <c r="K88" s="9">
        <v>1.8724688737000001E-4</v>
      </c>
      <c r="L88" s="9">
        <v>0.38551123105000001</v>
      </c>
      <c r="M88">
        <v>409709</v>
      </c>
      <c r="N88">
        <v>480584</v>
      </c>
      <c r="O88" s="9">
        <v>0.45220029207000001</v>
      </c>
      <c r="P88" s="11">
        <f>Telengana_Reaults_2019[[#This Row],[BJP Votes]]-Telengana_Reaults_2019[[#This Row],[Max Votes Other than BJP]]</f>
        <v>70875</v>
      </c>
      <c r="Q88" s="9">
        <f>Telengana_Reaults_2019[[#This Row],[BJP Vote Share]]-Telengana_Reaults_2019[[#This Row],[Max Votes Share other than BJP]]</f>
        <v>6.6689061019999996E-2</v>
      </c>
      <c r="R88">
        <v>1062768</v>
      </c>
      <c r="S88">
        <v>1553385</v>
      </c>
      <c r="T88" s="10">
        <v>0.68416265123999997</v>
      </c>
      <c r="U88" s="1" t="s">
        <v>26</v>
      </c>
    </row>
    <row r="89" spans="1:21" x14ac:dyDescent="0.35">
      <c r="A89" s="1" t="s">
        <v>18</v>
      </c>
      <c r="B89" s="1" t="s">
        <v>19</v>
      </c>
      <c r="C89" s="1" t="s">
        <v>140</v>
      </c>
      <c r="D89" s="1" t="s">
        <v>226</v>
      </c>
      <c r="E89" s="1" t="s">
        <v>21</v>
      </c>
      <c r="F89" s="1" t="s">
        <v>117</v>
      </c>
      <c r="G89" s="1" t="s">
        <v>112</v>
      </c>
      <c r="H89" s="1" t="s">
        <v>53</v>
      </c>
      <c r="I89" s="1" t="s">
        <v>50</v>
      </c>
      <c r="J89">
        <v>422</v>
      </c>
      <c r="K89" s="9">
        <v>3.9707631393E-4</v>
      </c>
      <c r="L89" s="9">
        <v>0.38551123105000001</v>
      </c>
      <c r="M89">
        <v>409709</v>
      </c>
      <c r="N89">
        <v>480584</v>
      </c>
      <c r="O89" s="9">
        <v>0.45220029207000001</v>
      </c>
      <c r="P89" s="11">
        <f>Telengana_Reaults_2019[[#This Row],[BJP Votes]]-Telengana_Reaults_2019[[#This Row],[Max Votes Other than BJP]]</f>
        <v>70875</v>
      </c>
      <c r="Q89" s="9">
        <f>Telengana_Reaults_2019[[#This Row],[BJP Vote Share]]-Telengana_Reaults_2019[[#This Row],[Max Votes Share other than BJP]]</f>
        <v>6.6689061019999996E-2</v>
      </c>
      <c r="R89">
        <v>1062768</v>
      </c>
      <c r="S89">
        <v>1553385</v>
      </c>
      <c r="T89" s="10">
        <v>0.68416265123999997</v>
      </c>
      <c r="U89" s="1" t="s">
        <v>26</v>
      </c>
    </row>
    <row r="90" spans="1:21" x14ac:dyDescent="0.35">
      <c r="A90" s="1" t="s">
        <v>18</v>
      </c>
      <c r="B90" s="1" t="s">
        <v>19</v>
      </c>
      <c r="C90" s="1" t="s">
        <v>140</v>
      </c>
      <c r="D90" s="1" t="s">
        <v>227</v>
      </c>
      <c r="E90" s="1" t="s">
        <v>21</v>
      </c>
      <c r="F90" s="1" t="s">
        <v>62</v>
      </c>
      <c r="G90" s="1" t="s">
        <v>67</v>
      </c>
      <c r="H90" s="1" t="s">
        <v>53</v>
      </c>
      <c r="I90" s="1" t="s">
        <v>228</v>
      </c>
      <c r="J90">
        <v>281</v>
      </c>
      <c r="K90" s="9">
        <v>2.6440389623999999E-4</v>
      </c>
      <c r="L90" s="9">
        <v>0.38551123105000001</v>
      </c>
      <c r="M90">
        <v>409709</v>
      </c>
      <c r="N90">
        <v>480584</v>
      </c>
      <c r="O90" s="9">
        <v>0.45220029207000001</v>
      </c>
      <c r="P90" s="11">
        <f>Telengana_Reaults_2019[[#This Row],[BJP Votes]]-Telengana_Reaults_2019[[#This Row],[Max Votes Other than BJP]]</f>
        <v>70875</v>
      </c>
      <c r="Q90" s="9">
        <f>Telengana_Reaults_2019[[#This Row],[BJP Vote Share]]-Telengana_Reaults_2019[[#This Row],[Max Votes Share other than BJP]]</f>
        <v>6.6689061019999996E-2</v>
      </c>
      <c r="R90">
        <v>1062768</v>
      </c>
      <c r="S90">
        <v>1553385</v>
      </c>
      <c r="T90" s="10">
        <v>0.68416265123999997</v>
      </c>
      <c r="U90" s="1" t="s">
        <v>26</v>
      </c>
    </row>
    <row r="91" spans="1:21" x14ac:dyDescent="0.35">
      <c r="A91" s="1" t="s">
        <v>18</v>
      </c>
      <c r="B91" s="1" t="s">
        <v>19</v>
      </c>
      <c r="C91" s="1" t="s">
        <v>140</v>
      </c>
      <c r="D91" s="1" t="s">
        <v>229</v>
      </c>
      <c r="E91" s="1" t="s">
        <v>21</v>
      </c>
      <c r="F91" s="1" t="s">
        <v>62</v>
      </c>
      <c r="G91" s="1" t="s">
        <v>112</v>
      </c>
      <c r="H91" s="1" t="s">
        <v>53</v>
      </c>
      <c r="I91" s="1" t="s">
        <v>230</v>
      </c>
      <c r="J91">
        <v>318</v>
      </c>
      <c r="K91" s="9">
        <v>2.9921864413999999E-4</v>
      </c>
      <c r="L91" s="9">
        <v>0.38551123105000001</v>
      </c>
      <c r="M91">
        <v>409709</v>
      </c>
      <c r="N91">
        <v>480584</v>
      </c>
      <c r="O91" s="9">
        <v>0.45220029207000001</v>
      </c>
      <c r="P91" s="11">
        <f>Telengana_Reaults_2019[[#This Row],[BJP Votes]]-Telengana_Reaults_2019[[#This Row],[Max Votes Other than BJP]]</f>
        <v>70875</v>
      </c>
      <c r="Q91" s="9">
        <f>Telengana_Reaults_2019[[#This Row],[BJP Vote Share]]-Telengana_Reaults_2019[[#This Row],[Max Votes Share other than BJP]]</f>
        <v>6.6689061019999996E-2</v>
      </c>
      <c r="R91">
        <v>1062768</v>
      </c>
      <c r="S91">
        <v>1553385</v>
      </c>
      <c r="T91" s="10">
        <v>0.68416265123999997</v>
      </c>
      <c r="U91" s="1" t="s">
        <v>26</v>
      </c>
    </row>
    <row r="92" spans="1:21" x14ac:dyDescent="0.35">
      <c r="A92" s="1" t="s">
        <v>18</v>
      </c>
      <c r="B92" s="1" t="s">
        <v>19</v>
      </c>
      <c r="C92" s="1" t="s">
        <v>140</v>
      </c>
      <c r="D92" s="1" t="s">
        <v>231</v>
      </c>
      <c r="E92" s="1" t="s">
        <v>21</v>
      </c>
      <c r="F92" s="1" t="s">
        <v>183</v>
      </c>
      <c r="G92" s="1" t="s">
        <v>112</v>
      </c>
      <c r="H92" s="1" t="s">
        <v>53</v>
      </c>
      <c r="I92" s="1" t="s">
        <v>232</v>
      </c>
      <c r="J92">
        <v>352</v>
      </c>
      <c r="K92" s="9">
        <v>3.3121057465000002E-4</v>
      </c>
      <c r="L92" s="9">
        <v>0.38551123105000001</v>
      </c>
      <c r="M92">
        <v>409709</v>
      </c>
      <c r="N92">
        <v>480584</v>
      </c>
      <c r="O92" s="9">
        <v>0.45220029207000001</v>
      </c>
      <c r="P92" s="11">
        <f>Telengana_Reaults_2019[[#This Row],[BJP Votes]]-Telengana_Reaults_2019[[#This Row],[Max Votes Other than BJP]]</f>
        <v>70875</v>
      </c>
      <c r="Q92" s="9">
        <f>Telengana_Reaults_2019[[#This Row],[BJP Vote Share]]-Telengana_Reaults_2019[[#This Row],[Max Votes Share other than BJP]]</f>
        <v>6.6689061019999996E-2</v>
      </c>
      <c r="R92">
        <v>1062768</v>
      </c>
      <c r="S92">
        <v>1553385</v>
      </c>
      <c r="T92" s="10">
        <v>0.68416265123999997</v>
      </c>
      <c r="U92" s="1" t="s">
        <v>26</v>
      </c>
    </row>
    <row r="93" spans="1:21" x14ac:dyDescent="0.35">
      <c r="A93" s="1" t="s">
        <v>18</v>
      </c>
      <c r="B93" s="1" t="s">
        <v>19</v>
      </c>
      <c r="C93" s="1" t="s">
        <v>140</v>
      </c>
      <c r="D93" s="1" t="s">
        <v>233</v>
      </c>
      <c r="E93" s="1" t="s">
        <v>21</v>
      </c>
      <c r="F93" s="1" t="s">
        <v>234</v>
      </c>
      <c r="G93" s="1" t="s">
        <v>112</v>
      </c>
      <c r="H93" s="1" t="s">
        <v>53</v>
      </c>
      <c r="I93" s="1" t="s">
        <v>235</v>
      </c>
      <c r="J93">
        <v>353</v>
      </c>
      <c r="K93" s="9">
        <v>3.3215151377999997E-4</v>
      </c>
      <c r="L93" s="9">
        <v>0.38551123105000001</v>
      </c>
      <c r="M93">
        <v>409709</v>
      </c>
      <c r="N93">
        <v>480584</v>
      </c>
      <c r="O93" s="9">
        <v>0.45220029207000001</v>
      </c>
      <c r="P93" s="11">
        <f>Telengana_Reaults_2019[[#This Row],[BJP Votes]]-Telengana_Reaults_2019[[#This Row],[Max Votes Other than BJP]]</f>
        <v>70875</v>
      </c>
      <c r="Q93" s="9">
        <f>Telengana_Reaults_2019[[#This Row],[BJP Vote Share]]-Telengana_Reaults_2019[[#This Row],[Max Votes Share other than BJP]]</f>
        <v>6.6689061019999996E-2</v>
      </c>
      <c r="R93">
        <v>1062768</v>
      </c>
      <c r="S93">
        <v>1553385</v>
      </c>
      <c r="T93" s="10">
        <v>0.68416265123999997</v>
      </c>
      <c r="U93" s="1" t="s">
        <v>26</v>
      </c>
    </row>
    <row r="94" spans="1:21" x14ac:dyDescent="0.35">
      <c r="A94" s="1" t="s">
        <v>18</v>
      </c>
      <c r="B94" s="1" t="s">
        <v>19</v>
      </c>
      <c r="C94" s="1" t="s">
        <v>140</v>
      </c>
      <c r="D94" s="1" t="s">
        <v>236</v>
      </c>
      <c r="E94" s="1" t="s">
        <v>21</v>
      </c>
      <c r="F94" s="1" t="s">
        <v>183</v>
      </c>
      <c r="G94" s="1" t="s">
        <v>112</v>
      </c>
      <c r="H94" s="1" t="s">
        <v>53</v>
      </c>
      <c r="I94" s="1" t="s">
        <v>93</v>
      </c>
      <c r="J94">
        <v>844</v>
      </c>
      <c r="K94" s="9">
        <v>7.9415262784999997E-4</v>
      </c>
      <c r="L94" s="9">
        <v>0.38551123105000001</v>
      </c>
      <c r="M94">
        <v>409709</v>
      </c>
      <c r="N94">
        <v>480584</v>
      </c>
      <c r="O94" s="9">
        <v>0.45220029207000001</v>
      </c>
      <c r="P94" s="11">
        <f>Telengana_Reaults_2019[[#This Row],[BJP Votes]]-Telengana_Reaults_2019[[#This Row],[Max Votes Other than BJP]]</f>
        <v>70875</v>
      </c>
      <c r="Q94" s="9">
        <f>Telengana_Reaults_2019[[#This Row],[BJP Vote Share]]-Telengana_Reaults_2019[[#This Row],[Max Votes Share other than BJP]]</f>
        <v>6.6689061019999996E-2</v>
      </c>
      <c r="R94">
        <v>1062768</v>
      </c>
      <c r="S94">
        <v>1553385</v>
      </c>
      <c r="T94" s="10">
        <v>0.68416265123999997</v>
      </c>
      <c r="U94" s="1" t="s">
        <v>26</v>
      </c>
    </row>
    <row r="95" spans="1:21" x14ac:dyDescent="0.35">
      <c r="A95" s="1" t="s">
        <v>18</v>
      </c>
      <c r="B95" s="1" t="s">
        <v>19</v>
      </c>
      <c r="C95" s="1" t="s">
        <v>140</v>
      </c>
      <c r="D95" s="1" t="s">
        <v>237</v>
      </c>
      <c r="E95" s="1" t="s">
        <v>21</v>
      </c>
      <c r="F95" s="1" t="s">
        <v>28</v>
      </c>
      <c r="G95" s="1" t="s">
        <v>112</v>
      </c>
      <c r="H95" s="1" t="s">
        <v>53</v>
      </c>
      <c r="I95" s="1" t="s">
        <v>238</v>
      </c>
      <c r="J95">
        <v>936</v>
      </c>
      <c r="K95" s="9">
        <v>8.8071902805000001E-4</v>
      </c>
      <c r="L95" s="9">
        <v>0.38551123105000001</v>
      </c>
      <c r="M95">
        <v>409709</v>
      </c>
      <c r="N95">
        <v>480584</v>
      </c>
      <c r="O95" s="9">
        <v>0.45220029207000001</v>
      </c>
      <c r="P95" s="11">
        <f>Telengana_Reaults_2019[[#This Row],[BJP Votes]]-Telengana_Reaults_2019[[#This Row],[Max Votes Other than BJP]]</f>
        <v>70875</v>
      </c>
      <c r="Q95" s="9">
        <f>Telengana_Reaults_2019[[#This Row],[BJP Vote Share]]-Telengana_Reaults_2019[[#This Row],[Max Votes Share other than BJP]]</f>
        <v>6.6689061019999996E-2</v>
      </c>
      <c r="R95">
        <v>1062768</v>
      </c>
      <c r="S95">
        <v>1553385</v>
      </c>
      <c r="T95" s="10">
        <v>0.68416265123999997</v>
      </c>
      <c r="U95" s="1" t="s">
        <v>26</v>
      </c>
    </row>
    <row r="96" spans="1:21" x14ac:dyDescent="0.35">
      <c r="A96" s="1" t="s">
        <v>18</v>
      </c>
      <c r="B96" s="1" t="s">
        <v>19</v>
      </c>
      <c r="C96" s="1" t="s">
        <v>140</v>
      </c>
      <c r="D96" s="1" t="s">
        <v>239</v>
      </c>
      <c r="E96" s="1" t="s">
        <v>21</v>
      </c>
      <c r="F96" s="1" t="s">
        <v>143</v>
      </c>
      <c r="G96" s="1" t="s">
        <v>67</v>
      </c>
      <c r="H96" s="1" t="s">
        <v>53</v>
      </c>
      <c r="I96" s="1" t="s">
        <v>240</v>
      </c>
      <c r="J96">
        <v>459</v>
      </c>
      <c r="K96" s="9">
        <v>4.3189106183E-4</v>
      </c>
      <c r="L96" s="9">
        <v>0.38551123105000001</v>
      </c>
      <c r="M96">
        <v>409709</v>
      </c>
      <c r="N96">
        <v>480584</v>
      </c>
      <c r="O96" s="9">
        <v>0.45220029207000001</v>
      </c>
      <c r="P96" s="11">
        <f>Telengana_Reaults_2019[[#This Row],[BJP Votes]]-Telengana_Reaults_2019[[#This Row],[Max Votes Other than BJP]]</f>
        <v>70875</v>
      </c>
      <c r="Q96" s="9">
        <f>Telengana_Reaults_2019[[#This Row],[BJP Vote Share]]-Telengana_Reaults_2019[[#This Row],[Max Votes Share other than BJP]]</f>
        <v>6.6689061019999996E-2</v>
      </c>
      <c r="R96">
        <v>1062768</v>
      </c>
      <c r="S96">
        <v>1553385</v>
      </c>
      <c r="T96" s="10">
        <v>0.68416265123999997</v>
      </c>
      <c r="U96" s="1" t="s">
        <v>26</v>
      </c>
    </row>
    <row r="97" spans="1:21" x14ac:dyDescent="0.35">
      <c r="A97" s="1" t="s">
        <v>18</v>
      </c>
      <c r="B97" s="1" t="s">
        <v>19</v>
      </c>
      <c r="C97" s="1" t="s">
        <v>140</v>
      </c>
      <c r="D97" s="1" t="s">
        <v>241</v>
      </c>
      <c r="E97" s="1" t="s">
        <v>21</v>
      </c>
      <c r="F97" s="1" t="s">
        <v>120</v>
      </c>
      <c r="G97" s="1" t="s">
        <v>112</v>
      </c>
      <c r="H97" s="1" t="s">
        <v>53</v>
      </c>
      <c r="I97" s="1" t="s">
        <v>242</v>
      </c>
      <c r="J97">
        <v>458</v>
      </c>
      <c r="K97" s="9">
        <v>4.3095012269999999E-4</v>
      </c>
      <c r="L97" s="9">
        <v>0.38551123105000001</v>
      </c>
      <c r="M97">
        <v>409709</v>
      </c>
      <c r="N97">
        <v>480584</v>
      </c>
      <c r="O97" s="9">
        <v>0.45220029207000001</v>
      </c>
      <c r="P97" s="11">
        <f>Telengana_Reaults_2019[[#This Row],[BJP Votes]]-Telengana_Reaults_2019[[#This Row],[Max Votes Other than BJP]]</f>
        <v>70875</v>
      </c>
      <c r="Q97" s="9">
        <f>Telengana_Reaults_2019[[#This Row],[BJP Vote Share]]-Telengana_Reaults_2019[[#This Row],[Max Votes Share other than BJP]]</f>
        <v>6.6689061019999996E-2</v>
      </c>
      <c r="R97">
        <v>1062768</v>
      </c>
      <c r="S97">
        <v>1553385</v>
      </c>
      <c r="T97" s="10">
        <v>0.68416265123999997</v>
      </c>
      <c r="U97" s="1" t="s">
        <v>26</v>
      </c>
    </row>
    <row r="98" spans="1:21" x14ac:dyDescent="0.35">
      <c r="A98" s="1" t="s">
        <v>18</v>
      </c>
      <c r="B98" s="1" t="s">
        <v>19</v>
      </c>
      <c r="C98" s="1" t="s">
        <v>140</v>
      </c>
      <c r="D98" s="1" t="s">
        <v>243</v>
      </c>
      <c r="E98" s="1" t="s">
        <v>21</v>
      </c>
      <c r="F98" s="1" t="s">
        <v>155</v>
      </c>
      <c r="G98" s="1" t="s">
        <v>112</v>
      </c>
      <c r="H98" s="1" t="s">
        <v>53</v>
      </c>
      <c r="I98" s="1" t="s">
        <v>244</v>
      </c>
      <c r="J98">
        <v>203</v>
      </c>
      <c r="K98" s="9">
        <v>1.910106439E-4</v>
      </c>
      <c r="L98" s="9">
        <v>0.38551123105000001</v>
      </c>
      <c r="M98">
        <v>409709</v>
      </c>
      <c r="N98">
        <v>480584</v>
      </c>
      <c r="O98" s="9">
        <v>0.45220029207000001</v>
      </c>
      <c r="P98" s="11">
        <f>Telengana_Reaults_2019[[#This Row],[BJP Votes]]-Telengana_Reaults_2019[[#This Row],[Max Votes Other than BJP]]</f>
        <v>70875</v>
      </c>
      <c r="Q98" s="9">
        <f>Telengana_Reaults_2019[[#This Row],[BJP Vote Share]]-Telengana_Reaults_2019[[#This Row],[Max Votes Share other than BJP]]</f>
        <v>6.6689061019999996E-2</v>
      </c>
      <c r="R98">
        <v>1062768</v>
      </c>
      <c r="S98">
        <v>1553385</v>
      </c>
      <c r="T98" s="10">
        <v>0.68416265123999997</v>
      </c>
      <c r="U98" s="1" t="s">
        <v>26</v>
      </c>
    </row>
    <row r="99" spans="1:21" x14ac:dyDescent="0.35">
      <c r="A99" s="1" t="s">
        <v>18</v>
      </c>
      <c r="B99" s="1" t="s">
        <v>19</v>
      </c>
      <c r="C99" s="1" t="s">
        <v>140</v>
      </c>
      <c r="D99" s="1" t="s">
        <v>245</v>
      </c>
      <c r="E99" s="1" t="s">
        <v>21</v>
      </c>
      <c r="F99" s="1" t="s">
        <v>165</v>
      </c>
      <c r="G99" s="1" t="s">
        <v>112</v>
      </c>
      <c r="H99" s="1" t="s">
        <v>53</v>
      </c>
      <c r="I99" s="1" t="s">
        <v>136</v>
      </c>
      <c r="J99">
        <v>878</v>
      </c>
      <c r="K99" s="9">
        <v>8.2614455835999996E-4</v>
      </c>
      <c r="L99" s="9">
        <v>0.38551123105000001</v>
      </c>
      <c r="M99">
        <v>409709</v>
      </c>
      <c r="N99">
        <v>480584</v>
      </c>
      <c r="O99" s="9">
        <v>0.45220029207000001</v>
      </c>
      <c r="P99" s="11">
        <f>Telengana_Reaults_2019[[#This Row],[BJP Votes]]-Telengana_Reaults_2019[[#This Row],[Max Votes Other than BJP]]</f>
        <v>70875</v>
      </c>
      <c r="Q99" s="9">
        <f>Telengana_Reaults_2019[[#This Row],[BJP Vote Share]]-Telengana_Reaults_2019[[#This Row],[Max Votes Share other than BJP]]</f>
        <v>6.6689061019999996E-2</v>
      </c>
      <c r="R99">
        <v>1062768</v>
      </c>
      <c r="S99">
        <v>1553385</v>
      </c>
      <c r="T99" s="10">
        <v>0.68416265123999997</v>
      </c>
      <c r="U99" s="1" t="s">
        <v>26</v>
      </c>
    </row>
    <row r="100" spans="1:21" x14ac:dyDescent="0.35">
      <c r="A100" s="1" t="s">
        <v>18</v>
      </c>
      <c r="B100" s="1" t="s">
        <v>19</v>
      </c>
      <c r="C100" s="1" t="s">
        <v>140</v>
      </c>
      <c r="D100" s="1" t="s">
        <v>246</v>
      </c>
      <c r="E100" s="1" t="s">
        <v>21</v>
      </c>
      <c r="F100" s="1" t="s">
        <v>173</v>
      </c>
      <c r="G100" s="1" t="s">
        <v>112</v>
      </c>
      <c r="H100" s="1" t="s">
        <v>53</v>
      </c>
      <c r="I100" s="1" t="s">
        <v>247</v>
      </c>
      <c r="J100">
        <v>173</v>
      </c>
      <c r="K100" s="9">
        <v>1.6278246993000001E-4</v>
      </c>
      <c r="L100" s="9">
        <v>0.38551123105000001</v>
      </c>
      <c r="M100">
        <v>409709</v>
      </c>
      <c r="N100">
        <v>480584</v>
      </c>
      <c r="O100" s="9">
        <v>0.45220029207000001</v>
      </c>
      <c r="P100" s="11">
        <f>Telengana_Reaults_2019[[#This Row],[BJP Votes]]-Telengana_Reaults_2019[[#This Row],[Max Votes Other than BJP]]</f>
        <v>70875</v>
      </c>
      <c r="Q100" s="9">
        <f>Telengana_Reaults_2019[[#This Row],[BJP Vote Share]]-Telengana_Reaults_2019[[#This Row],[Max Votes Share other than BJP]]</f>
        <v>6.6689061019999996E-2</v>
      </c>
      <c r="R100">
        <v>1062768</v>
      </c>
      <c r="S100">
        <v>1553385</v>
      </c>
      <c r="T100" s="10">
        <v>0.68416265123999997</v>
      </c>
      <c r="U100" s="1" t="s">
        <v>26</v>
      </c>
    </row>
    <row r="101" spans="1:21" x14ac:dyDescent="0.35">
      <c r="A101" s="1" t="s">
        <v>18</v>
      </c>
      <c r="B101" s="1" t="s">
        <v>19</v>
      </c>
      <c r="C101" s="1" t="s">
        <v>140</v>
      </c>
      <c r="D101" s="1" t="s">
        <v>248</v>
      </c>
      <c r="E101" s="1" t="s">
        <v>21</v>
      </c>
      <c r="F101" s="1" t="s">
        <v>249</v>
      </c>
      <c r="G101" s="1" t="s">
        <v>112</v>
      </c>
      <c r="H101" s="1" t="s">
        <v>53</v>
      </c>
      <c r="I101" s="1" t="s">
        <v>250</v>
      </c>
      <c r="J101">
        <v>257</v>
      </c>
      <c r="K101" s="9">
        <v>2.4182135706E-4</v>
      </c>
      <c r="L101" s="9">
        <v>0.38551123105000001</v>
      </c>
      <c r="M101">
        <v>409709</v>
      </c>
      <c r="N101">
        <v>480584</v>
      </c>
      <c r="O101" s="9">
        <v>0.45220029207000001</v>
      </c>
      <c r="P101" s="11">
        <f>Telengana_Reaults_2019[[#This Row],[BJP Votes]]-Telengana_Reaults_2019[[#This Row],[Max Votes Other than BJP]]</f>
        <v>70875</v>
      </c>
      <c r="Q101" s="9">
        <f>Telengana_Reaults_2019[[#This Row],[BJP Vote Share]]-Telengana_Reaults_2019[[#This Row],[Max Votes Share other than BJP]]</f>
        <v>6.6689061019999996E-2</v>
      </c>
      <c r="R101">
        <v>1062768</v>
      </c>
      <c r="S101">
        <v>1553385</v>
      </c>
      <c r="T101" s="10">
        <v>0.68416265123999997</v>
      </c>
      <c r="U101" s="1" t="s">
        <v>26</v>
      </c>
    </row>
    <row r="102" spans="1:21" x14ac:dyDescent="0.35">
      <c r="A102" s="1" t="s">
        <v>18</v>
      </c>
      <c r="B102" s="1" t="s">
        <v>19</v>
      </c>
      <c r="C102" s="1" t="s">
        <v>140</v>
      </c>
      <c r="D102" s="1" t="s">
        <v>251</v>
      </c>
      <c r="E102" s="1" t="s">
        <v>21</v>
      </c>
      <c r="F102" s="1" t="s">
        <v>56</v>
      </c>
      <c r="G102" s="1" t="s">
        <v>112</v>
      </c>
      <c r="H102" s="1" t="s">
        <v>53</v>
      </c>
      <c r="I102" s="1" t="s">
        <v>252</v>
      </c>
      <c r="J102">
        <v>125</v>
      </c>
      <c r="K102" s="9">
        <v>1.1761739157E-4</v>
      </c>
      <c r="L102" s="9">
        <v>0.38551123105000001</v>
      </c>
      <c r="M102">
        <v>409709</v>
      </c>
      <c r="N102">
        <v>480584</v>
      </c>
      <c r="O102" s="9">
        <v>0.45220029207000001</v>
      </c>
      <c r="P102" s="11">
        <f>Telengana_Reaults_2019[[#This Row],[BJP Votes]]-Telengana_Reaults_2019[[#This Row],[Max Votes Other than BJP]]</f>
        <v>70875</v>
      </c>
      <c r="Q102" s="9">
        <f>Telengana_Reaults_2019[[#This Row],[BJP Vote Share]]-Telengana_Reaults_2019[[#This Row],[Max Votes Share other than BJP]]</f>
        <v>6.6689061019999996E-2</v>
      </c>
      <c r="R102">
        <v>1062768</v>
      </c>
      <c r="S102">
        <v>1553385</v>
      </c>
      <c r="T102" s="10">
        <v>0.68416265123999997</v>
      </c>
      <c r="U102" s="1" t="s">
        <v>26</v>
      </c>
    </row>
    <row r="103" spans="1:21" x14ac:dyDescent="0.35">
      <c r="A103" s="1" t="s">
        <v>18</v>
      </c>
      <c r="B103" s="1" t="s">
        <v>19</v>
      </c>
      <c r="C103" s="1" t="s">
        <v>140</v>
      </c>
      <c r="D103" s="1" t="s">
        <v>253</v>
      </c>
      <c r="E103" s="1" t="s">
        <v>21</v>
      </c>
      <c r="F103" s="1" t="s">
        <v>80</v>
      </c>
      <c r="G103" s="1" t="s">
        <v>112</v>
      </c>
      <c r="H103" s="1" t="s">
        <v>53</v>
      </c>
      <c r="I103" s="1" t="s">
        <v>254</v>
      </c>
      <c r="J103">
        <v>128</v>
      </c>
      <c r="K103" s="9">
        <v>1.2044020896E-4</v>
      </c>
      <c r="L103" s="9">
        <v>0.38551123105000001</v>
      </c>
      <c r="M103">
        <v>409709</v>
      </c>
      <c r="N103">
        <v>480584</v>
      </c>
      <c r="O103" s="9">
        <v>0.45220029207000001</v>
      </c>
      <c r="P103" s="11">
        <f>Telengana_Reaults_2019[[#This Row],[BJP Votes]]-Telengana_Reaults_2019[[#This Row],[Max Votes Other than BJP]]</f>
        <v>70875</v>
      </c>
      <c r="Q103" s="9">
        <f>Telengana_Reaults_2019[[#This Row],[BJP Vote Share]]-Telengana_Reaults_2019[[#This Row],[Max Votes Share other than BJP]]</f>
        <v>6.6689061019999996E-2</v>
      </c>
      <c r="R103">
        <v>1062768</v>
      </c>
      <c r="S103">
        <v>1553385</v>
      </c>
      <c r="T103" s="10">
        <v>0.68416265123999997</v>
      </c>
      <c r="U103" s="1" t="s">
        <v>26</v>
      </c>
    </row>
    <row r="104" spans="1:21" x14ac:dyDescent="0.35">
      <c r="A104" s="1" t="s">
        <v>18</v>
      </c>
      <c r="B104" s="1" t="s">
        <v>19</v>
      </c>
      <c r="C104" s="1" t="s">
        <v>140</v>
      </c>
      <c r="D104" s="1" t="s">
        <v>255</v>
      </c>
      <c r="E104" s="1" t="s">
        <v>21</v>
      </c>
      <c r="F104" s="1" t="s">
        <v>125</v>
      </c>
      <c r="G104" s="1" t="s">
        <v>112</v>
      </c>
      <c r="H104" s="1" t="s">
        <v>53</v>
      </c>
      <c r="I104" s="1" t="s">
        <v>256</v>
      </c>
      <c r="J104">
        <v>115</v>
      </c>
      <c r="K104" s="9">
        <v>1.0820800024E-4</v>
      </c>
      <c r="L104" s="9">
        <v>0.38551123105000001</v>
      </c>
      <c r="M104">
        <v>409709</v>
      </c>
      <c r="N104">
        <v>480584</v>
      </c>
      <c r="O104" s="9">
        <v>0.45220029207000001</v>
      </c>
      <c r="P104" s="11">
        <f>Telengana_Reaults_2019[[#This Row],[BJP Votes]]-Telengana_Reaults_2019[[#This Row],[Max Votes Other than BJP]]</f>
        <v>70875</v>
      </c>
      <c r="Q104" s="9">
        <f>Telengana_Reaults_2019[[#This Row],[BJP Vote Share]]-Telengana_Reaults_2019[[#This Row],[Max Votes Share other than BJP]]</f>
        <v>6.6689061019999996E-2</v>
      </c>
      <c r="R104">
        <v>1062768</v>
      </c>
      <c r="S104">
        <v>1553385</v>
      </c>
      <c r="T104" s="10">
        <v>0.68416265123999997</v>
      </c>
      <c r="U104" s="1" t="s">
        <v>26</v>
      </c>
    </row>
    <row r="105" spans="1:21" x14ac:dyDescent="0.35">
      <c r="A105" s="1" t="s">
        <v>18</v>
      </c>
      <c r="B105" s="1" t="s">
        <v>19</v>
      </c>
      <c r="C105" s="1" t="s">
        <v>140</v>
      </c>
      <c r="D105" s="1" t="s">
        <v>257</v>
      </c>
      <c r="E105" s="1" t="s">
        <v>21</v>
      </c>
      <c r="F105" s="1" t="s">
        <v>165</v>
      </c>
      <c r="G105" s="1" t="s">
        <v>112</v>
      </c>
      <c r="H105" s="1" t="s">
        <v>53</v>
      </c>
      <c r="I105" s="1" t="s">
        <v>110</v>
      </c>
      <c r="J105">
        <v>536</v>
      </c>
      <c r="K105" s="9">
        <v>5.0434337504000001E-4</v>
      </c>
      <c r="L105" s="9">
        <v>0.38551123105000001</v>
      </c>
      <c r="M105">
        <v>409709</v>
      </c>
      <c r="N105">
        <v>480584</v>
      </c>
      <c r="O105" s="9">
        <v>0.45220029207000001</v>
      </c>
      <c r="P105" s="11">
        <f>Telengana_Reaults_2019[[#This Row],[BJP Votes]]-Telengana_Reaults_2019[[#This Row],[Max Votes Other than BJP]]</f>
        <v>70875</v>
      </c>
      <c r="Q105" s="9">
        <f>Telengana_Reaults_2019[[#This Row],[BJP Vote Share]]-Telengana_Reaults_2019[[#This Row],[Max Votes Share other than BJP]]</f>
        <v>6.6689061019999996E-2</v>
      </c>
      <c r="R105">
        <v>1062768</v>
      </c>
      <c r="S105">
        <v>1553385</v>
      </c>
      <c r="T105" s="10">
        <v>0.68416265123999997</v>
      </c>
      <c r="U105" s="1" t="s">
        <v>26</v>
      </c>
    </row>
    <row r="106" spans="1:21" x14ac:dyDescent="0.35">
      <c r="A106" s="1" t="s">
        <v>18</v>
      </c>
      <c r="B106" s="1" t="s">
        <v>19</v>
      </c>
      <c r="C106" s="1" t="s">
        <v>140</v>
      </c>
      <c r="D106" s="1" t="s">
        <v>258</v>
      </c>
      <c r="E106" s="1" t="s">
        <v>21</v>
      </c>
      <c r="F106" s="1" t="s">
        <v>99</v>
      </c>
      <c r="G106" s="1" t="s">
        <v>112</v>
      </c>
      <c r="H106" s="1" t="s">
        <v>53</v>
      </c>
      <c r="I106" s="1" t="s">
        <v>259</v>
      </c>
      <c r="J106">
        <v>175</v>
      </c>
      <c r="K106" s="9">
        <v>1.6466434818999999E-4</v>
      </c>
      <c r="L106" s="9">
        <v>0.38551123105000001</v>
      </c>
      <c r="M106">
        <v>409709</v>
      </c>
      <c r="N106">
        <v>480584</v>
      </c>
      <c r="O106" s="9">
        <v>0.45220029207000001</v>
      </c>
      <c r="P106" s="11">
        <f>Telengana_Reaults_2019[[#This Row],[BJP Votes]]-Telengana_Reaults_2019[[#This Row],[Max Votes Other than BJP]]</f>
        <v>70875</v>
      </c>
      <c r="Q106" s="9">
        <f>Telengana_Reaults_2019[[#This Row],[BJP Vote Share]]-Telengana_Reaults_2019[[#This Row],[Max Votes Share other than BJP]]</f>
        <v>6.6689061019999996E-2</v>
      </c>
      <c r="R106">
        <v>1062768</v>
      </c>
      <c r="S106">
        <v>1553385</v>
      </c>
      <c r="T106" s="10">
        <v>0.68416265123999997</v>
      </c>
      <c r="U106" s="1" t="s">
        <v>26</v>
      </c>
    </row>
    <row r="107" spans="1:21" x14ac:dyDescent="0.35">
      <c r="A107" s="1" t="s">
        <v>18</v>
      </c>
      <c r="B107" s="1" t="s">
        <v>19</v>
      </c>
      <c r="C107" s="1" t="s">
        <v>140</v>
      </c>
      <c r="D107" s="1" t="s">
        <v>260</v>
      </c>
      <c r="E107" s="1" t="s">
        <v>21</v>
      </c>
      <c r="F107" s="1" t="s">
        <v>36</v>
      </c>
      <c r="G107" s="1" t="s">
        <v>112</v>
      </c>
      <c r="H107" s="1" t="s">
        <v>53</v>
      </c>
      <c r="I107" s="1" t="s">
        <v>261</v>
      </c>
      <c r="J107">
        <v>150</v>
      </c>
      <c r="K107" s="9">
        <v>1.4114086988E-4</v>
      </c>
      <c r="L107" s="9">
        <v>0.38551123105000001</v>
      </c>
      <c r="M107">
        <v>409709</v>
      </c>
      <c r="N107">
        <v>480584</v>
      </c>
      <c r="O107" s="9">
        <v>0.45220029207000001</v>
      </c>
      <c r="P107" s="11">
        <f>Telengana_Reaults_2019[[#This Row],[BJP Votes]]-Telengana_Reaults_2019[[#This Row],[Max Votes Other than BJP]]</f>
        <v>70875</v>
      </c>
      <c r="Q107" s="9">
        <f>Telengana_Reaults_2019[[#This Row],[BJP Vote Share]]-Telengana_Reaults_2019[[#This Row],[Max Votes Share other than BJP]]</f>
        <v>6.6689061019999996E-2</v>
      </c>
      <c r="R107">
        <v>1062768</v>
      </c>
      <c r="S107">
        <v>1553385</v>
      </c>
      <c r="T107" s="10">
        <v>0.68416265123999997</v>
      </c>
      <c r="U107" s="1" t="s">
        <v>26</v>
      </c>
    </row>
    <row r="108" spans="1:21" x14ac:dyDescent="0.35">
      <c r="A108" s="1" t="s">
        <v>18</v>
      </c>
      <c r="B108" s="1" t="s">
        <v>19</v>
      </c>
      <c r="C108" s="1" t="s">
        <v>140</v>
      </c>
      <c r="D108" s="1" t="s">
        <v>262</v>
      </c>
      <c r="E108" s="1" t="s">
        <v>21</v>
      </c>
      <c r="F108" s="1" t="s">
        <v>120</v>
      </c>
      <c r="G108" s="1" t="s">
        <v>112</v>
      </c>
      <c r="H108" s="1" t="s">
        <v>53</v>
      </c>
      <c r="I108" s="1" t="s">
        <v>263</v>
      </c>
      <c r="J108">
        <v>167</v>
      </c>
      <c r="K108" s="9">
        <v>1.5713683513000001E-4</v>
      </c>
      <c r="L108" s="9">
        <v>0.38551123105000001</v>
      </c>
      <c r="M108">
        <v>409709</v>
      </c>
      <c r="N108">
        <v>480584</v>
      </c>
      <c r="O108" s="9">
        <v>0.45220029207000001</v>
      </c>
      <c r="P108" s="11">
        <f>Telengana_Reaults_2019[[#This Row],[BJP Votes]]-Telengana_Reaults_2019[[#This Row],[Max Votes Other than BJP]]</f>
        <v>70875</v>
      </c>
      <c r="Q108" s="9">
        <f>Telengana_Reaults_2019[[#This Row],[BJP Vote Share]]-Telengana_Reaults_2019[[#This Row],[Max Votes Share other than BJP]]</f>
        <v>6.6689061019999996E-2</v>
      </c>
      <c r="R108">
        <v>1062768</v>
      </c>
      <c r="S108">
        <v>1553385</v>
      </c>
      <c r="T108" s="10">
        <v>0.68416265123999997</v>
      </c>
      <c r="U108" s="1" t="s">
        <v>26</v>
      </c>
    </row>
    <row r="109" spans="1:21" x14ac:dyDescent="0.35">
      <c r="A109" s="1" t="s">
        <v>18</v>
      </c>
      <c r="B109" s="1" t="s">
        <v>19</v>
      </c>
      <c r="C109" s="1" t="s">
        <v>140</v>
      </c>
      <c r="D109" s="1" t="s">
        <v>264</v>
      </c>
      <c r="E109" s="1" t="s">
        <v>21</v>
      </c>
      <c r="F109" s="1" t="s">
        <v>265</v>
      </c>
      <c r="G109" s="1" t="s">
        <v>112</v>
      </c>
      <c r="H109" s="1" t="s">
        <v>53</v>
      </c>
      <c r="I109" s="1" t="s">
        <v>266</v>
      </c>
      <c r="J109">
        <v>254</v>
      </c>
      <c r="K109" s="9">
        <v>2.3899853965999999E-4</v>
      </c>
      <c r="L109" s="9">
        <v>0.38551123105000001</v>
      </c>
      <c r="M109">
        <v>409709</v>
      </c>
      <c r="N109">
        <v>480584</v>
      </c>
      <c r="O109" s="9">
        <v>0.45220029207000001</v>
      </c>
      <c r="P109" s="11">
        <f>Telengana_Reaults_2019[[#This Row],[BJP Votes]]-Telengana_Reaults_2019[[#This Row],[Max Votes Other than BJP]]</f>
        <v>70875</v>
      </c>
      <c r="Q109" s="9">
        <f>Telengana_Reaults_2019[[#This Row],[BJP Vote Share]]-Telengana_Reaults_2019[[#This Row],[Max Votes Share other than BJP]]</f>
        <v>6.6689061019999996E-2</v>
      </c>
      <c r="R109">
        <v>1062768</v>
      </c>
      <c r="S109">
        <v>1553385</v>
      </c>
      <c r="T109" s="10">
        <v>0.68416265123999997</v>
      </c>
      <c r="U109" s="1" t="s">
        <v>26</v>
      </c>
    </row>
    <row r="110" spans="1:21" x14ac:dyDescent="0.35">
      <c r="A110" s="1" t="s">
        <v>18</v>
      </c>
      <c r="B110" s="1" t="s">
        <v>19</v>
      </c>
      <c r="C110" s="1" t="s">
        <v>140</v>
      </c>
      <c r="D110" s="1" t="s">
        <v>267</v>
      </c>
      <c r="E110" s="1" t="s">
        <v>21</v>
      </c>
      <c r="F110" s="1" t="s">
        <v>234</v>
      </c>
      <c r="G110" s="1" t="s">
        <v>112</v>
      </c>
      <c r="H110" s="1" t="s">
        <v>53</v>
      </c>
      <c r="I110" s="1" t="s">
        <v>268</v>
      </c>
      <c r="J110">
        <v>255</v>
      </c>
      <c r="K110" s="9">
        <v>2.3993947878999999E-4</v>
      </c>
      <c r="L110" s="9">
        <v>0.38551123105000001</v>
      </c>
      <c r="M110">
        <v>409709</v>
      </c>
      <c r="N110">
        <v>480584</v>
      </c>
      <c r="O110" s="9">
        <v>0.45220029207000001</v>
      </c>
      <c r="P110" s="11">
        <f>Telengana_Reaults_2019[[#This Row],[BJP Votes]]-Telengana_Reaults_2019[[#This Row],[Max Votes Other than BJP]]</f>
        <v>70875</v>
      </c>
      <c r="Q110" s="9">
        <f>Telengana_Reaults_2019[[#This Row],[BJP Vote Share]]-Telengana_Reaults_2019[[#This Row],[Max Votes Share other than BJP]]</f>
        <v>6.6689061019999996E-2</v>
      </c>
      <c r="R110">
        <v>1062768</v>
      </c>
      <c r="S110">
        <v>1553385</v>
      </c>
      <c r="T110" s="10">
        <v>0.68416265123999997</v>
      </c>
      <c r="U110" s="1" t="s">
        <v>26</v>
      </c>
    </row>
    <row r="111" spans="1:21" x14ac:dyDescent="0.35">
      <c r="A111" s="1" t="s">
        <v>18</v>
      </c>
      <c r="B111" s="1" t="s">
        <v>19</v>
      </c>
      <c r="C111" s="1" t="s">
        <v>140</v>
      </c>
      <c r="D111" s="1" t="s">
        <v>269</v>
      </c>
      <c r="E111" s="1" t="s">
        <v>21</v>
      </c>
      <c r="F111" s="1" t="s">
        <v>95</v>
      </c>
      <c r="G111" s="1" t="s">
        <v>67</v>
      </c>
      <c r="H111" s="1" t="s">
        <v>53</v>
      </c>
      <c r="I111" s="1" t="s">
        <v>270</v>
      </c>
      <c r="J111">
        <v>797</v>
      </c>
      <c r="K111" s="9">
        <v>7.4992848863000003E-4</v>
      </c>
      <c r="L111" s="9">
        <v>0.38551123105000001</v>
      </c>
      <c r="M111">
        <v>409709</v>
      </c>
      <c r="N111">
        <v>480584</v>
      </c>
      <c r="O111" s="9">
        <v>0.45220029207000001</v>
      </c>
      <c r="P111" s="11">
        <f>Telengana_Reaults_2019[[#This Row],[BJP Votes]]-Telengana_Reaults_2019[[#This Row],[Max Votes Other than BJP]]</f>
        <v>70875</v>
      </c>
      <c r="Q111" s="9">
        <f>Telengana_Reaults_2019[[#This Row],[BJP Vote Share]]-Telengana_Reaults_2019[[#This Row],[Max Votes Share other than BJP]]</f>
        <v>6.6689061019999996E-2</v>
      </c>
      <c r="R111">
        <v>1062768</v>
      </c>
      <c r="S111">
        <v>1553385</v>
      </c>
      <c r="T111" s="10">
        <v>0.68416265123999997</v>
      </c>
      <c r="U111" s="1" t="s">
        <v>26</v>
      </c>
    </row>
    <row r="112" spans="1:21" x14ac:dyDescent="0.35">
      <c r="A112" s="1" t="s">
        <v>18</v>
      </c>
      <c r="B112" s="1" t="s">
        <v>19</v>
      </c>
      <c r="C112" s="1" t="s">
        <v>140</v>
      </c>
      <c r="D112" s="1" t="s">
        <v>271</v>
      </c>
      <c r="E112" s="1" t="s">
        <v>21</v>
      </c>
      <c r="F112" s="1" t="s">
        <v>143</v>
      </c>
      <c r="G112" s="1" t="s">
        <v>112</v>
      </c>
      <c r="H112" s="1" t="s">
        <v>53</v>
      </c>
      <c r="I112" s="1" t="s">
        <v>272</v>
      </c>
      <c r="J112">
        <v>676</v>
      </c>
      <c r="K112" s="9">
        <v>6.3607485359000004E-4</v>
      </c>
      <c r="L112" s="9">
        <v>0.38551123105000001</v>
      </c>
      <c r="M112">
        <v>409709</v>
      </c>
      <c r="N112">
        <v>480584</v>
      </c>
      <c r="O112" s="9">
        <v>0.45220029207000001</v>
      </c>
      <c r="P112" s="11">
        <f>Telengana_Reaults_2019[[#This Row],[BJP Votes]]-Telengana_Reaults_2019[[#This Row],[Max Votes Other than BJP]]</f>
        <v>70875</v>
      </c>
      <c r="Q112" s="9">
        <f>Telengana_Reaults_2019[[#This Row],[BJP Vote Share]]-Telengana_Reaults_2019[[#This Row],[Max Votes Share other than BJP]]</f>
        <v>6.6689061019999996E-2</v>
      </c>
      <c r="R112">
        <v>1062768</v>
      </c>
      <c r="S112">
        <v>1553385</v>
      </c>
      <c r="T112" s="10">
        <v>0.68416265123999997</v>
      </c>
      <c r="U112" s="1" t="s">
        <v>26</v>
      </c>
    </row>
    <row r="113" spans="1:21" x14ac:dyDescent="0.35">
      <c r="A113" s="1" t="s">
        <v>18</v>
      </c>
      <c r="B113" s="1" t="s">
        <v>19</v>
      </c>
      <c r="C113" s="1" t="s">
        <v>140</v>
      </c>
      <c r="D113" s="1" t="s">
        <v>273</v>
      </c>
      <c r="E113" s="1" t="s">
        <v>21</v>
      </c>
      <c r="F113" s="1" t="s">
        <v>36</v>
      </c>
      <c r="G113" s="1" t="s">
        <v>112</v>
      </c>
      <c r="H113" s="1" t="s">
        <v>53</v>
      </c>
      <c r="I113" s="1" t="s">
        <v>274</v>
      </c>
      <c r="J113">
        <v>560</v>
      </c>
      <c r="K113" s="9">
        <v>5.2692591421999997E-4</v>
      </c>
      <c r="L113" s="9">
        <v>0.38551123105000001</v>
      </c>
      <c r="M113">
        <v>409709</v>
      </c>
      <c r="N113">
        <v>480584</v>
      </c>
      <c r="O113" s="9">
        <v>0.45220029207000001</v>
      </c>
      <c r="P113" s="11">
        <f>Telengana_Reaults_2019[[#This Row],[BJP Votes]]-Telengana_Reaults_2019[[#This Row],[Max Votes Other than BJP]]</f>
        <v>70875</v>
      </c>
      <c r="Q113" s="9">
        <f>Telengana_Reaults_2019[[#This Row],[BJP Vote Share]]-Telengana_Reaults_2019[[#This Row],[Max Votes Share other than BJP]]</f>
        <v>6.6689061019999996E-2</v>
      </c>
      <c r="R113">
        <v>1062768</v>
      </c>
      <c r="S113">
        <v>1553385</v>
      </c>
      <c r="T113" s="10">
        <v>0.68416265123999997</v>
      </c>
      <c r="U113" s="1" t="s">
        <v>26</v>
      </c>
    </row>
    <row r="114" spans="1:21" x14ac:dyDescent="0.35">
      <c r="A114" s="1" t="s">
        <v>18</v>
      </c>
      <c r="B114" s="1" t="s">
        <v>19</v>
      </c>
      <c r="C114" s="1" t="s">
        <v>140</v>
      </c>
      <c r="D114" s="1" t="s">
        <v>275</v>
      </c>
      <c r="E114" s="1" t="s">
        <v>21</v>
      </c>
      <c r="F114" s="1" t="s">
        <v>117</v>
      </c>
      <c r="G114" s="1" t="s">
        <v>112</v>
      </c>
      <c r="H114" s="1" t="s">
        <v>53</v>
      </c>
      <c r="I114" s="1" t="s">
        <v>107</v>
      </c>
      <c r="J114">
        <v>512</v>
      </c>
      <c r="K114" s="9">
        <v>4.8176083586E-4</v>
      </c>
      <c r="L114" s="9">
        <v>0.38551123105000001</v>
      </c>
      <c r="M114">
        <v>409709</v>
      </c>
      <c r="N114">
        <v>480584</v>
      </c>
      <c r="O114" s="9">
        <v>0.45220029207000001</v>
      </c>
      <c r="P114" s="11">
        <f>Telengana_Reaults_2019[[#This Row],[BJP Votes]]-Telengana_Reaults_2019[[#This Row],[Max Votes Other than BJP]]</f>
        <v>70875</v>
      </c>
      <c r="Q114" s="9">
        <f>Telengana_Reaults_2019[[#This Row],[BJP Vote Share]]-Telengana_Reaults_2019[[#This Row],[Max Votes Share other than BJP]]</f>
        <v>6.6689061019999996E-2</v>
      </c>
      <c r="R114">
        <v>1062768</v>
      </c>
      <c r="S114">
        <v>1553385</v>
      </c>
      <c r="T114" s="10">
        <v>0.68416265123999997</v>
      </c>
      <c r="U114" s="1" t="s">
        <v>26</v>
      </c>
    </row>
    <row r="115" spans="1:21" x14ac:dyDescent="0.35">
      <c r="A115" s="1" t="s">
        <v>18</v>
      </c>
      <c r="B115" s="1" t="s">
        <v>19</v>
      </c>
      <c r="C115" s="1" t="s">
        <v>140</v>
      </c>
      <c r="D115" s="1" t="s">
        <v>276</v>
      </c>
      <c r="E115" s="1" t="s">
        <v>21</v>
      </c>
      <c r="F115" s="1" t="s">
        <v>143</v>
      </c>
      <c r="G115" s="1" t="s">
        <v>112</v>
      </c>
      <c r="H115" s="1" t="s">
        <v>53</v>
      </c>
      <c r="I115" s="1" t="s">
        <v>277</v>
      </c>
      <c r="J115">
        <v>184</v>
      </c>
      <c r="K115" s="9">
        <v>1.7313280038999999E-4</v>
      </c>
      <c r="L115" s="9">
        <v>0.38551123105000001</v>
      </c>
      <c r="M115">
        <v>409709</v>
      </c>
      <c r="N115">
        <v>480584</v>
      </c>
      <c r="O115" s="9">
        <v>0.45220029207000001</v>
      </c>
      <c r="P115" s="11">
        <f>Telengana_Reaults_2019[[#This Row],[BJP Votes]]-Telengana_Reaults_2019[[#This Row],[Max Votes Other than BJP]]</f>
        <v>70875</v>
      </c>
      <c r="Q115" s="9">
        <f>Telengana_Reaults_2019[[#This Row],[BJP Vote Share]]-Telengana_Reaults_2019[[#This Row],[Max Votes Share other than BJP]]</f>
        <v>6.6689061019999996E-2</v>
      </c>
      <c r="R115">
        <v>1062768</v>
      </c>
      <c r="S115">
        <v>1553385</v>
      </c>
      <c r="T115" s="10">
        <v>0.68416265123999997</v>
      </c>
      <c r="U115" s="1" t="s">
        <v>26</v>
      </c>
    </row>
    <row r="116" spans="1:21" x14ac:dyDescent="0.35">
      <c r="A116" s="1" t="s">
        <v>18</v>
      </c>
      <c r="B116" s="1" t="s">
        <v>19</v>
      </c>
      <c r="C116" s="1" t="s">
        <v>140</v>
      </c>
      <c r="D116" s="1" t="s">
        <v>278</v>
      </c>
      <c r="E116" s="1" t="s">
        <v>21</v>
      </c>
      <c r="F116" s="1" t="s">
        <v>80</v>
      </c>
      <c r="G116" s="1" t="s">
        <v>112</v>
      </c>
      <c r="H116" s="1" t="s">
        <v>53</v>
      </c>
      <c r="I116" s="1" t="s">
        <v>279</v>
      </c>
      <c r="J116">
        <v>212</v>
      </c>
      <c r="K116" s="9">
        <v>1.9947909609999999E-4</v>
      </c>
      <c r="L116" s="9">
        <v>0.38551123105000001</v>
      </c>
      <c r="M116">
        <v>409709</v>
      </c>
      <c r="N116">
        <v>480584</v>
      </c>
      <c r="O116" s="9">
        <v>0.45220029207000001</v>
      </c>
      <c r="P116" s="11">
        <f>Telengana_Reaults_2019[[#This Row],[BJP Votes]]-Telengana_Reaults_2019[[#This Row],[Max Votes Other than BJP]]</f>
        <v>70875</v>
      </c>
      <c r="Q116" s="9">
        <f>Telengana_Reaults_2019[[#This Row],[BJP Vote Share]]-Telengana_Reaults_2019[[#This Row],[Max Votes Share other than BJP]]</f>
        <v>6.6689061019999996E-2</v>
      </c>
      <c r="R116">
        <v>1062768</v>
      </c>
      <c r="S116">
        <v>1553385</v>
      </c>
      <c r="T116" s="10">
        <v>0.68416265123999997</v>
      </c>
      <c r="U116" s="1" t="s">
        <v>26</v>
      </c>
    </row>
    <row r="117" spans="1:21" x14ac:dyDescent="0.35">
      <c r="A117" s="1" t="s">
        <v>18</v>
      </c>
      <c r="B117" s="1" t="s">
        <v>19</v>
      </c>
      <c r="C117" s="1" t="s">
        <v>140</v>
      </c>
      <c r="D117" s="1" t="s">
        <v>280</v>
      </c>
      <c r="E117" s="1" t="s">
        <v>21</v>
      </c>
      <c r="F117" s="1" t="s">
        <v>75</v>
      </c>
      <c r="G117" s="1" t="s">
        <v>112</v>
      </c>
      <c r="H117" s="1" t="s">
        <v>53</v>
      </c>
      <c r="I117" s="1" t="s">
        <v>281</v>
      </c>
      <c r="J117">
        <v>153</v>
      </c>
      <c r="K117" s="9">
        <v>1.4396368727999999E-4</v>
      </c>
      <c r="L117" s="9">
        <v>0.38551123105000001</v>
      </c>
      <c r="M117">
        <v>409709</v>
      </c>
      <c r="N117">
        <v>480584</v>
      </c>
      <c r="O117" s="9">
        <v>0.45220029207000001</v>
      </c>
      <c r="P117" s="11">
        <f>Telengana_Reaults_2019[[#This Row],[BJP Votes]]-Telengana_Reaults_2019[[#This Row],[Max Votes Other than BJP]]</f>
        <v>70875</v>
      </c>
      <c r="Q117" s="9">
        <f>Telengana_Reaults_2019[[#This Row],[BJP Vote Share]]-Telengana_Reaults_2019[[#This Row],[Max Votes Share other than BJP]]</f>
        <v>6.6689061019999996E-2</v>
      </c>
      <c r="R117">
        <v>1062768</v>
      </c>
      <c r="S117">
        <v>1553385</v>
      </c>
      <c r="T117" s="10">
        <v>0.68416265123999997</v>
      </c>
      <c r="U117" s="1" t="s">
        <v>26</v>
      </c>
    </row>
    <row r="118" spans="1:21" x14ac:dyDescent="0.35">
      <c r="A118" s="1" t="s">
        <v>18</v>
      </c>
      <c r="B118" s="1" t="s">
        <v>19</v>
      </c>
      <c r="C118" s="1" t="s">
        <v>140</v>
      </c>
      <c r="D118" s="1" t="s">
        <v>282</v>
      </c>
      <c r="E118" s="1" t="s">
        <v>21</v>
      </c>
      <c r="F118" s="1" t="s">
        <v>106</v>
      </c>
      <c r="G118" s="1" t="s">
        <v>67</v>
      </c>
      <c r="H118" s="1" t="s">
        <v>53</v>
      </c>
      <c r="I118" s="1" t="s">
        <v>63</v>
      </c>
      <c r="J118">
        <v>170</v>
      </c>
      <c r="K118" s="9">
        <v>1.5995965253E-4</v>
      </c>
      <c r="L118" s="9">
        <v>0.38551123105000001</v>
      </c>
      <c r="M118">
        <v>409709</v>
      </c>
      <c r="N118">
        <v>480584</v>
      </c>
      <c r="O118" s="9">
        <v>0.45220029207000001</v>
      </c>
      <c r="P118" s="11">
        <f>Telengana_Reaults_2019[[#This Row],[BJP Votes]]-Telengana_Reaults_2019[[#This Row],[Max Votes Other than BJP]]</f>
        <v>70875</v>
      </c>
      <c r="Q118" s="9">
        <f>Telengana_Reaults_2019[[#This Row],[BJP Vote Share]]-Telengana_Reaults_2019[[#This Row],[Max Votes Share other than BJP]]</f>
        <v>6.6689061019999996E-2</v>
      </c>
      <c r="R118">
        <v>1062768</v>
      </c>
      <c r="S118">
        <v>1553385</v>
      </c>
      <c r="T118" s="10">
        <v>0.68416265123999997</v>
      </c>
      <c r="U118" s="1" t="s">
        <v>26</v>
      </c>
    </row>
    <row r="119" spans="1:21" x14ac:dyDescent="0.35">
      <c r="A119" s="1" t="s">
        <v>18</v>
      </c>
      <c r="B119" s="1" t="s">
        <v>19</v>
      </c>
      <c r="C119" s="1" t="s">
        <v>140</v>
      </c>
      <c r="D119" s="1" t="s">
        <v>283</v>
      </c>
      <c r="E119" s="1" t="s">
        <v>21</v>
      </c>
      <c r="F119" s="1" t="s">
        <v>200</v>
      </c>
      <c r="G119" s="1" t="s">
        <v>112</v>
      </c>
      <c r="H119" s="1" t="s">
        <v>53</v>
      </c>
      <c r="I119" s="1" t="s">
        <v>284</v>
      </c>
      <c r="J119">
        <v>312</v>
      </c>
      <c r="K119" s="9">
        <v>2.9357300934999998E-4</v>
      </c>
      <c r="L119" s="9">
        <v>0.38551123105000001</v>
      </c>
      <c r="M119">
        <v>409709</v>
      </c>
      <c r="N119">
        <v>480584</v>
      </c>
      <c r="O119" s="9">
        <v>0.45220029207000001</v>
      </c>
      <c r="P119" s="11">
        <f>Telengana_Reaults_2019[[#This Row],[BJP Votes]]-Telengana_Reaults_2019[[#This Row],[Max Votes Other than BJP]]</f>
        <v>70875</v>
      </c>
      <c r="Q119" s="9">
        <f>Telengana_Reaults_2019[[#This Row],[BJP Vote Share]]-Telengana_Reaults_2019[[#This Row],[Max Votes Share other than BJP]]</f>
        <v>6.6689061019999996E-2</v>
      </c>
      <c r="R119">
        <v>1062768</v>
      </c>
      <c r="S119">
        <v>1553385</v>
      </c>
      <c r="T119" s="10">
        <v>0.68416265123999997</v>
      </c>
      <c r="U119" s="1" t="s">
        <v>26</v>
      </c>
    </row>
    <row r="120" spans="1:21" x14ac:dyDescent="0.35">
      <c r="A120" s="1" t="s">
        <v>18</v>
      </c>
      <c r="B120" s="1" t="s">
        <v>19</v>
      </c>
      <c r="C120" s="1" t="s">
        <v>140</v>
      </c>
      <c r="D120" s="1" t="s">
        <v>285</v>
      </c>
      <c r="E120" s="1" t="s">
        <v>21</v>
      </c>
      <c r="F120" s="1" t="s">
        <v>125</v>
      </c>
      <c r="G120" s="1" t="s">
        <v>67</v>
      </c>
      <c r="H120" s="1" t="s">
        <v>53</v>
      </c>
      <c r="I120" s="1" t="s">
        <v>286</v>
      </c>
      <c r="J120">
        <v>258</v>
      </c>
      <c r="K120" s="9">
        <v>2.4276229619000001E-4</v>
      </c>
      <c r="L120" s="9">
        <v>0.38551123105000001</v>
      </c>
      <c r="M120">
        <v>409709</v>
      </c>
      <c r="N120">
        <v>480584</v>
      </c>
      <c r="O120" s="9">
        <v>0.45220029207000001</v>
      </c>
      <c r="P120" s="11">
        <f>Telengana_Reaults_2019[[#This Row],[BJP Votes]]-Telengana_Reaults_2019[[#This Row],[Max Votes Other than BJP]]</f>
        <v>70875</v>
      </c>
      <c r="Q120" s="9">
        <f>Telengana_Reaults_2019[[#This Row],[BJP Vote Share]]-Telengana_Reaults_2019[[#This Row],[Max Votes Share other than BJP]]</f>
        <v>6.6689061019999996E-2</v>
      </c>
      <c r="R120">
        <v>1062768</v>
      </c>
      <c r="S120">
        <v>1553385</v>
      </c>
      <c r="T120" s="10">
        <v>0.68416265123999997</v>
      </c>
      <c r="U120" s="1" t="s">
        <v>26</v>
      </c>
    </row>
    <row r="121" spans="1:21" x14ac:dyDescent="0.35">
      <c r="A121" s="1" t="s">
        <v>18</v>
      </c>
      <c r="B121" s="1" t="s">
        <v>19</v>
      </c>
      <c r="C121" s="1" t="s">
        <v>140</v>
      </c>
      <c r="D121" s="1" t="s">
        <v>287</v>
      </c>
      <c r="E121" s="1" t="s">
        <v>21</v>
      </c>
      <c r="F121" s="1" t="s">
        <v>143</v>
      </c>
      <c r="G121" s="1" t="s">
        <v>112</v>
      </c>
      <c r="H121" s="1" t="s">
        <v>53</v>
      </c>
      <c r="I121" s="1" t="s">
        <v>54</v>
      </c>
      <c r="J121">
        <v>284</v>
      </c>
      <c r="K121" s="9">
        <v>2.6722671363999998E-4</v>
      </c>
      <c r="L121" s="9">
        <v>0.38551123105000001</v>
      </c>
      <c r="M121">
        <v>409709</v>
      </c>
      <c r="N121">
        <v>480584</v>
      </c>
      <c r="O121" s="9">
        <v>0.45220029207000001</v>
      </c>
      <c r="P121" s="11">
        <f>Telengana_Reaults_2019[[#This Row],[BJP Votes]]-Telengana_Reaults_2019[[#This Row],[Max Votes Other than BJP]]</f>
        <v>70875</v>
      </c>
      <c r="Q121" s="9">
        <f>Telengana_Reaults_2019[[#This Row],[BJP Vote Share]]-Telengana_Reaults_2019[[#This Row],[Max Votes Share other than BJP]]</f>
        <v>6.6689061019999996E-2</v>
      </c>
      <c r="R121">
        <v>1062768</v>
      </c>
      <c r="S121">
        <v>1553385</v>
      </c>
      <c r="T121" s="10">
        <v>0.68416265123999997</v>
      </c>
      <c r="U121" s="1" t="s">
        <v>26</v>
      </c>
    </row>
    <row r="122" spans="1:21" x14ac:dyDescent="0.35">
      <c r="A122" s="1" t="s">
        <v>18</v>
      </c>
      <c r="B122" s="1" t="s">
        <v>19</v>
      </c>
      <c r="C122" s="1" t="s">
        <v>140</v>
      </c>
      <c r="D122" s="1" t="s">
        <v>288</v>
      </c>
      <c r="E122" s="1" t="s">
        <v>21</v>
      </c>
      <c r="F122" s="1" t="s">
        <v>120</v>
      </c>
      <c r="G122" s="1" t="s">
        <v>112</v>
      </c>
      <c r="H122" s="1" t="s">
        <v>53</v>
      </c>
      <c r="I122" s="1" t="s">
        <v>289</v>
      </c>
      <c r="J122">
        <v>489</v>
      </c>
      <c r="K122" s="9">
        <v>4.6011923580999999E-4</v>
      </c>
      <c r="L122" s="9">
        <v>0.38551123105000001</v>
      </c>
      <c r="M122">
        <v>409709</v>
      </c>
      <c r="N122">
        <v>480584</v>
      </c>
      <c r="O122" s="9">
        <v>0.45220029207000001</v>
      </c>
      <c r="P122" s="11">
        <f>Telengana_Reaults_2019[[#This Row],[BJP Votes]]-Telengana_Reaults_2019[[#This Row],[Max Votes Other than BJP]]</f>
        <v>70875</v>
      </c>
      <c r="Q122" s="9">
        <f>Telengana_Reaults_2019[[#This Row],[BJP Vote Share]]-Telengana_Reaults_2019[[#This Row],[Max Votes Share other than BJP]]</f>
        <v>6.6689061019999996E-2</v>
      </c>
      <c r="R122">
        <v>1062768</v>
      </c>
      <c r="S122">
        <v>1553385</v>
      </c>
      <c r="T122" s="10">
        <v>0.68416265123999997</v>
      </c>
      <c r="U122" s="1" t="s">
        <v>26</v>
      </c>
    </row>
    <row r="123" spans="1:21" x14ac:dyDescent="0.35">
      <c r="A123" s="1" t="s">
        <v>18</v>
      </c>
      <c r="B123" s="1" t="s">
        <v>19</v>
      </c>
      <c r="C123" s="1" t="s">
        <v>140</v>
      </c>
      <c r="D123" s="1" t="s">
        <v>290</v>
      </c>
      <c r="E123" s="1" t="s">
        <v>21</v>
      </c>
      <c r="F123" s="1" t="s">
        <v>183</v>
      </c>
      <c r="G123" s="1" t="s">
        <v>112</v>
      </c>
      <c r="H123" s="1" t="s">
        <v>53</v>
      </c>
      <c r="I123" s="1" t="s">
        <v>291</v>
      </c>
      <c r="J123">
        <v>399</v>
      </c>
      <c r="K123" s="9">
        <v>3.7543471387999999E-4</v>
      </c>
      <c r="L123" s="9">
        <v>0.38551123105000001</v>
      </c>
      <c r="M123">
        <v>409709</v>
      </c>
      <c r="N123">
        <v>480584</v>
      </c>
      <c r="O123" s="9">
        <v>0.45220029207000001</v>
      </c>
      <c r="P123" s="11">
        <f>Telengana_Reaults_2019[[#This Row],[BJP Votes]]-Telengana_Reaults_2019[[#This Row],[Max Votes Other than BJP]]</f>
        <v>70875</v>
      </c>
      <c r="Q123" s="9">
        <f>Telengana_Reaults_2019[[#This Row],[BJP Vote Share]]-Telengana_Reaults_2019[[#This Row],[Max Votes Share other than BJP]]</f>
        <v>6.6689061019999996E-2</v>
      </c>
      <c r="R123">
        <v>1062768</v>
      </c>
      <c r="S123">
        <v>1553385</v>
      </c>
      <c r="T123" s="10">
        <v>0.68416265123999997</v>
      </c>
      <c r="U123" s="1" t="s">
        <v>26</v>
      </c>
    </row>
    <row r="124" spans="1:21" x14ac:dyDescent="0.35">
      <c r="A124" s="1" t="s">
        <v>18</v>
      </c>
      <c r="B124" s="1" t="s">
        <v>19</v>
      </c>
      <c r="C124" s="1" t="s">
        <v>140</v>
      </c>
      <c r="D124" s="1" t="s">
        <v>292</v>
      </c>
      <c r="E124" s="1" t="s">
        <v>21</v>
      </c>
      <c r="F124" s="1" t="s">
        <v>120</v>
      </c>
      <c r="G124" s="1" t="s">
        <v>112</v>
      </c>
      <c r="H124" s="1" t="s">
        <v>53</v>
      </c>
      <c r="I124" s="1" t="s">
        <v>293</v>
      </c>
      <c r="J124">
        <v>215</v>
      </c>
      <c r="K124" s="9">
        <v>2.0230191349000001E-4</v>
      </c>
      <c r="L124" s="9">
        <v>0.38551123105000001</v>
      </c>
      <c r="M124">
        <v>409709</v>
      </c>
      <c r="N124">
        <v>480584</v>
      </c>
      <c r="O124" s="9">
        <v>0.45220029207000001</v>
      </c>
      <c r="P124" s="11">
        <f>Telengana_Reaults_2019[[#This Row],[BJP Votes]]-Telengana_Reaults_2019[[#This Row],[Max Votes Other than BJP]]</f>
        <v>70875</v>
      </c>
      <c r="Q124" s="9">
        <f>Telengana_Reaults_2019[[#This Row],[BJP Vote Share]]-Telengana_Reaults_2019[[#This Row],[Max Votes Share other than BJP]]</f>
        <v>6.6689061019999996E-2</v>
      </c>
      <c r="R124">
        <v>1062768</v>
      </c>
      <c r="S124">
        <v>1553385</v>
      </c>
      <c r="T124" s="10">
        <v>0.68416265123999997</v>
      </c>
      <c r="U124" s="1" t="s">
        <v>26</v>
      </c>
    </row>
    <row r="125" spans="1:21" x14ac:dyDescent="0.35">
      <c r="A125" s="1" t="s">
        <v>18</v>
      </c>
      <c r="B125" s="1" t="s">
        <v>19</v>
      </c>
      <c r="C125" s="1" t="s">
        <v>140</v>
      </c>
      <c r="D125" s="1" t="s">
        <v>294</v>
      </c>
      <c r="E125" s="1" t="s">
        <v>21</v>
      </c>
      <c r="F125" s="1" t="s">
        <v>40</v>
      </c>
      <c r="G125" s="1" t="s">
        <v>112</v>
      </c>
      <c r="H125" s="1" t="s">
        <v>53</v>
      </c>
      <c r="I125" s="1" t="s">
        <v>295</v>
      </c>
      <c r="J125">
        <v>351</v>
      </c>
      <c r="K125" s="9">
        <v>3.3026963552000002E-4</v>
      </c>
      <c r="L125" s="9">
        <v>0.38551123105000001</v>
      </c>
      <c r="M125">
        <v>409709</v>
      </c>
      <c r="N125">
        <v>480584</v>
      </c>
      <c r="O125" s="9">
        <v>0.45220029207000001</v>
      </c>
      <c r="P125" s="11">
        <f>Telengana_Reaults_2019[[#This Row],[BJP Votes]]-Telengana_Reaults_2019[[#This Row],[Max Votes Other than BJP]]</f>
        <v>70875</v>
      </c>
      <c r="Q125" s="9">
        <f>Telengana_Reaults_2019[[#This Row],[BJP Vote Share]]-Telengana_Reaults_2019[[#This Row],[Max Votes Share other than BJP]]</f>
        <v>6.6689061019999996E-2</v>
      </c>
      <c r="R125">
        <v>1062768</v>
      </c>
      <c r="S125">
        <v>1553385</v>
      </c>
      <c r="T125" s="10">
        <v>0.68416265123999997</v>
      </c>
      <c r="U125" s="1" t="s">
        <v>26</v>
      </c>
    </row>
    <row r="126" spans="1:21" x14ac:dyDescent="0.35">
      <c r="A126" s="1" t="s">
        <v>18</v>
      </c>
      <c r="B126" s="1" t="s">
        <v>19</v>
      </c>
      <c r="C126" s="1" t="s">
        <v>140</v>
      </c>
      <c r="D126" s="1" t="s">
        <v>296</v>
      </c>
      <c r="E126" s="1" t="s">
        <v>21</v>
      </c>
      <c r="F126" s="1" t="s">
        <v>205</v>
      </c>
      <c r="G126" s="1" t="s">
        <v>112</v>
      </c>
      <c r="H126" s="1" t="s">
        <v>53</v>
      </c>
      <c r="I126" s="1" t="s">
        <v>297</v>
      </c>
      <c r="J126">
        <v>710</v>
      </c>
      <c r="K126" s="9">
        <v>6.6806678410000003E-4</v>
      </c>
      <c r="L126" s="9">
        <v>0.38551123105000001</v>
      </c>
      <c r="M126">
        <v>409709</v>
      </c>
      <c r="N126">
        <v>480584</v>
      </c>
      <c r="O126" s="9">
        <v>0.45220029207000001</v>
      </c>
      <c r="P126" s="11">
        <f>Telengana_Reaults_2019[[#This Row],[BJP Votes]]-Telengana_Reaults_2019[[#This Row],[Max Votes Other than BJP]]</f>
        <v>70875</v>
      </c>
      <c r="Q126" s="9">
        <f>Telengana_Reaults_2019[[#This Row],[BJP Vote Share]]-Telengana_Reaults_2019[[#This Row],[Max Votes Share other than BJP]]</f>
        <v>6.6689061019999996E-2</v>
      </c>
      <c r="R126">
        <v>1062768</v>
      </c>
      <c r="S126">
        <v>1553385</v>
      </c>
      <c r="T126" s="10">
        <v>0.68416265123999997</v>
      </c>
      <c r="U126" s="1" t="s">
        <v>26</v>
      </c>
    </row>
    <row r="127" spans="1:21" x14ac:dyDescent="0.35">
      <c r="A127" s="1" t="s">
        <v>18</v>
      </c>
      <c r="B127" s="1" t="s">
        <v>19</v>
      </c>
      <c r="C127" s="1" t="s">
        <v>140</v>
      </c>
      <c r="D127" s="1" t="s">
        <v>298</v>
      </c>
      <c r="E127" s="1" t="s">
        <v>21</v>
      </c>
      <c r="F127" s="1" t="s">
        <v>120</v>
      </c>
      <c r="G127" s="1" t="s">
        <v>112</v>
      </c>
      <c r="H127" s="1" t="s">
        <v>53</v>
      </c>
      <c r="I127" s="1" t="s">
        <v>299</v>
      </c>
      <c r="J127">
        <v>920</v>
      </c>
      <c r="K127" s="9">
        <v>8.6566400193000004E-4</v>
      </c>
      <c r="L127" s="9">
        <v>0.38551123105000001</v>
      </c>
      <c r="M127">
        <v>409709</v>
      </c>
      <c r="N127">
        <v>480584</v>
      </c>
      <c r="O127" s="9">
        <v>0.45220029207000001</v>
      </c>
      <c r="P127" s="11">
        <f>Telengana_Reaults_2019[[#This Row],[BJP Votes]]-Telengana_Reaults_2019[[#This Row],[Max Votes Other than BJP]]</f>
        <v>70875</v>
      </c>
      <c r="Q127" s="9">
        <f>Telengana_Reaults_2019[[#This Row],[BJP Vote Share]]-Telengana_Reaults_2019[[#This Row],[Max Votes Share other than BJP]]</f>
        <v>6.6689061019999996E-2</v>
      </c>
      <c r="R127">
        <v>1062768</v>
      </c>
      <c r="S127">
        <v>1553385</v>
      </c>
      <c r="T127" s="10">
        <v>0.68416265123999997</v>
      </c>
      <c r="U127" s="1" t="s">
        <v>26</v>
      </c>
    </row>
    <row r="128" spans="1:21" x14ac:dyDescent="0.35">
      <c r="A128" s="1" t="s">
        <v>18</v>
      </c>
      <c r="B128" s="1" t="s">
        <v>19</v>
      </c>
      <c r="C128" s="1" t="s">
        <v>140</v>
      </c>
      <c r="D128" s="1" t="s">
        <v>300</v>
      </c>
      <c r="E128" s="1" t="s">
        <v>21</v>
      </c>
      <c r="F128" s="1" t="s">
        <v>22</v>
      </c>
      <c r="G128" s="1" t="s">
        <v>67</v>
      </c>
      <c r="H128" s="1" t="s">
        <v>53</v>
      </c>
      <c r="I128" s="1" t="s">
        <v>301</v>
      </c>
      <c r="J128">
        <v>2172</v>
      </c>
      <c r="K128" s="9">
        <v>2.0437197958999998E-3</v>
      </c>
      <c r="L128" s="9">
        <v>0.38551123105000001</v>
      </c>
      <c r="M128">
        <v>409709</v>
      </c>
      <c r="N128">
        <v>480584</v>
      </c>
      <c r="O128" s="9">
        <v>0.45220029207000001</v>
      </c>
      <c r="P128" s="11">
        <f>Telengana_Reaults_2019[[#This Row],[BJP Votes]]-Telengana_Reaults_2019[[#This Row],[Max Votes Other than BJP]]</f>
        <v>70875</v>
      </c>
      <c r="Q128" s="9">
        <f>Telengana_Reaults_2019[[#This Row],[BJP Vote Share]]-Telengana_Reaults_2019[[#This Row],[Max Votes Share other than BJP]]</f>
        <v>6.6689061019999996E-2</v>
      </c>
      <c r="R128">
        <v>1062768</v>
      </c>
      <c r="S128">
        <v>1553385</v>
      </c>
      <c r="T128" s="10">
        <v>0.68416265123999997</v>
      </c>
      <c r="U128" s="1" t="s">
        <v>26</v>
      </c>
    </row>
    <row r="129" spans="1:21" x14ac:dyDescent="0.35">
      <c r="A129" s="1" t="s">
        <v>18</v>
      </c>
      <c r="B129" s="1" t="s">
        <v>19</v>
      </c>
      <c r="C129" s="1" t="s">
        <v>140</v>
      </c>
      <c r="D129" s="1" t="s">
        <v>302</v>
      </c>
      <c r="E129" s="1" t="s">
        <v>21</v>
      </c>
      <c r="F129" s="1" t="s">
        <v>44</v>
      </c>
      <c r="G129" s="1" t="s">
        <v>67</v>
      </c>
      <c r="H129" s="1" t="s">
        <v>53</v>
      </c>
      <c r="I129" s="1" t="s">
        <v>89</v>
      </c>
      <c r="J129">
        <v>2467</v>
      </c>
      <c r="K129" s="9">
        <v>2.3212968400000001E-3</v>
      </c>
      <c r="L129" s="9">
        <v>0.38551123105000001</v>
      </c>
      <c r="M129">
        <v>409709</v>
      </c>
      <c r="N129">
        <v>480584</v>
      </c>
      <c r="O129" s="9">
        <v>0.45220029207000001</v>
      </c>
      <c r="P129" s="11">
        <f>Telengana_Reaults_2019[[#This Row],[BJP Votes]]-Telengana_Reaults_2019[[#This Row],[Max Votes Other than BJP]]</f>
        <v>70875</v>
      </c>
      <c r="Q129" s="9">
        <f>Telengana_Reaults_2019[[#This Row],[BJP Vote Share]]-Telengana_Reaults_2019[[#This Row],[Max Votes Share other than BJP]]</f>
        <v>6.6689061019999996E-2</v>
      </c>
      <c r="R129">
        <v>1062768</v>
      </c>
      <c r="S129">
        <v>1553385</v>
      </c>
      <c r="T129" s="10">
        <v>0.68416265123999997</v>
      </c>
      <c r="U129" s="1" t="s">
        <v>26</v>
      </c>
    </row>
    <row r="130" spans="1:21" x14ac:dyDescent="0.35">
      <c r="A130" s="1" t="s">
        <v>18</v>
      </c>
      <c r="B130" s="1" t="s">
        <v>19</v>
      </c>
      <c r="C130" s="1" t="s">
        <v>140</v>
      </c>
      <c r="D130" s="1" t="s">
        <v>303</v>
      </c>
      <c r="E130" s="1" t="s">
        <v>21</v>
      </c>
      <c r="F130" s="1" t="s">
        <v>155</v>
      </c>
      <c r="G130" s="1" t="s">
        <v>112</v>
      </c>
      <c r="H130" s="1" t="s">
        <v>53</v>
      </c>
      <c r="I130" s="1" t="s">
        <v>304</v>
      </c>
      <c r="J130">
        <v>548</v>
      </c>
      <c r="K130" s="9">
        <v>5.1563464463000004E-4</v>
      </c>
      <c r="L130" s="9">
        <v>0.38551123105000001</v>
      </c>
      <c r="M130">
        <v>409709</v>
      </c>
      <c r="N130">
        <v>480584</v>
      </c>
      <c r="O130" s="9">
        <v>0.45220029207000001</v>
      </c>
      <c r="P130" s="11">
        <f>Telengana_Reaults_2019[[#This Row],[BJP Votes]]-Telengana_Reaults_2019[[#This Row],[Max Votes Other than BJP]]</f>
        <v>70875</v>
      </c>
      <c r="Q130" s="9">
        <f>Telengana_Reaults_2019[[#This Row],[BJP Vote Share]]-Telengana_Reaults_2019[[#This Row],[Max Votes Share other than BJP]]</f>
        <v>6.6689061019999996E-2</v>
      </c>
      <c r="R130">
        <v>1062768</v>
      </c>
      <c r="S130">
        <v>1553385</v>
      </c>
      <c r="T130" s="10">
        <v>0.68416265123999997</v>
      </c>
      <c r="U130" s="1" t="s">
        <v>26</v>
      </c>
    </row>
    <row r="131" spans="1:21" x14ac:dyDescent="0.35">
      <c r="A131" s="1" t="s">
        <v>18</v>
      </c>
      <c r="B131" s="1" t="s">
        <v>19</v>
      </c>
      <c r="C131" s="1" t="s">
        <v>140</v>
      </c>
      <c r="D131" s="1" t="s">
        <v>305</v>
      </c>
      <c r="E131" s="1" t="s">
        <v>21</v>
      </c>
      <c r="F131" s="1" t="s">
        <v>135</v>
      </c>
      <c r="G131" s="1" t="s">
        <v>112</v>
      </c>
      <c r="H131" s="1" t="s">
        <v>53</v>
      </c>
      <c r="I131" s="1" t="s">
        <v>306</v>
      </c>
      <c r="J131">
        <v>338</v>
      </c>
      <c r="K131" s="9">
        <v>3.1803742679000001E-4</v>
      </c>
      <c r="L131" s="9">
        <v>0.38551123105000001</v>
      </c>
      <c r="M131">
        <v>409709</v>
      </c>
      <c r="N131">
        <v>480584</v>
      </c>
      <c r="O131" s="9">
        <v>0.45220029207000001</v>
      </c>
      <c r="P131" s="11">
        <f>Telengana_Reaults_2019[[#This Row],[BJP Votes]]-Telengana_Reaults_2019[[#This Row],[Max Votes Other than BJP]]</f>
        <v>70875</v>
      </c>
      <c r="Q131" s="9">
        <f>Telengana_Reaults_2019[[#This Row],[BJP Vote Share]]-Telengana_Reaults_2019[[#This Row],[Max Votes Share other than BJP]]</f>
        <v>6.6689061019999996E-2</v>
      </c>
      <c r="R131">
        <v>1062768</v>
      </c>
      <c r="S131">
        <v>1553385</v>
      </c>
      <c r="T131" s="10">
        <v>0.68416265123999997</v>
      </c>
      <c r="U131" s="1" t="s">
        <v>26</v>
      </c>
    </row>
    <row r="132" spans="1:21" x14ac:dyDescent="0.35">
      <c r="A132" s="1" t="s">
        <v>18</v>
      </c>
      <c r="B132" s="1" t="s">
        <v>19</v>
      </c>
      <c r="C132" s="1" t="s">
        <v>140</v>
      </c>
      <c r="D132" s="1" t="s">
        <v>307</v>
      </c>
      <c r="E132" s="1" t="s">
        <v>21</v>
      </c>
      <c r="F132" s="1" t="s">
        <v>249</v>
      </c>
      <c r="G132" s="1" t="s">
        <v>112</v>
      </c>
      <c r="H132" s="1" t="s">
        <v>53</v>
      </c>
      <c r="I132" s="1" t="s">
        <v>308</v>
      </c>
      <c r="J132">
        <v>213</v>
      </c>
      <c r="K132" s="9">
        <v>2.0042003523E-4</v>
      </c>
      <c r="L132" s="9">
        <v>0.38551123105000001</v>
      </c>
      <c r="M132">
        <v>409709</v>
      </c>
      <c r="N132">
        <v>480584</v>
      </c>
      <c r="O132" s="9">
        <v>0.45220029207000001</v>
      </c>
      <c r="P132" s="11">
        <f>Telengana_Reaults_2019[[#This Row],[BJP Votes]]-Telengana_Reaults_2019[[#This Row],[Max Votes Other than BJP]]</f>
        <v>70875</v>
      </c>
      <c r="Q132" s="9">
        <f>Telengana_Reaults_2019[[#This Row],[BJP Vote Share]]-Telengana_Reaults_2019[[#This Row],[Max Votes Share other than BJP]]</f>
        <v>6.6689061019999996E-2</v>
      </c>
      <c r="R132">
        <v>1062768</v>
      </c>
      <c r="S132">
        <v>1553385</v>
      </c>
      <c r="T132" s="10">
        <v>0.68416265123999997</v>
      </c>
      <c r="U132" s="1" t="s">
        <v>26</v>
      </c>
    </row>
    <row r="133" spans="1:21" x14ac:dyDescent="0.35">
      <c r="A133" s="1" t="s">
        <v>18</v>
      </c>
      <c r="B133" s="1" t="s">
        <v>19</v>
      </c>
      <c r="C133" s="1" t="s">
        <v>140</v>
      </c>
      <c r="D133" s="1" t="s">
        <v>309</v>
      </c>
      <c r="E133" s="1" t="s">
        <v>21</v>
      </c>
      <c r="F133" s="1" t="s">
        <v>160</v>
      </c>
      <c r="G133" s="1" t="s">
        <v>112</v>
      </c>
      <c r="H133" s="1" t="s">
        <v>53</v>
      </c>
      <c r="I133" s="1" t="s">
        <v>310</v>
      </c>
      <c r="J133">
        <v>211</v>
      </c>
      <c r="K133" s="9">
        <v>1.9853815696000001E-4</v>
      </c>
      <c r="L133" s="9">
        <v>0.38551123105000001</v>
      </c>
      <c r="M133">
        <v>409709</v>
      </c>
      <c r="N133">
        <v>480584</v>
      </c>
      <c r="O133" s="9">
        <v>0.45220029207000001</v>
      </c>
      <c r="P133" s="11">
        <f>Telengana_Reaults_2019[[#This Row],[BJP Votes]]-Telengana_Reaults_2019[[#This Row],[Max Votes Other than BJP]]</f>
        <v>70875</v>
      </c>
      <c r="Q133" s="9">
        <f>Telengana_Reaults_2019[[#This Row],[BJP Vote Share]]-Telengana_Reaults_2019[[#This Row],[Max Votes Share other than BJP]]</f>
        <v>6.6689061019999996E-2</v>
      </c>
      <c r="R133">
        <v>1062768</v>
      </c>
      <c r="S133">
        <v>1553385</v>
      </c>
      <c r="T133" s="10">
        <v>0.68416265123999997</v>
      </c>
      <c r="U133" s="1" t="s">
        <v>26</v>
      </c>
    </row>
    <row r="134" spans="1:21" x14ac:dyDescent="0.35">
      <c r="A134" s="1" t="s">
        <v>18</v>
      </c>
      <c r="B134" s="1" t="s">
        <v>19</v>
      </c>
      <c r="C134" s="1" t="s">
        <v>140</v>
      </c>
      <c r="D134" s="1" t="s">
        <v>311</v>
      </c>
      <c r="E134" s="1" t="s">
        <v>21</v>
      </c>
      <c r="F134" s="1" t="s">
        <v>75</v>
      </c>
      <c r="G134" s="1" t="s">
        <v>67</v>
      </c>
      <c r="H134" s="1" t="s">
        <v>53</v>
      </c>
      <c r="I134" s="1" t="s">
        <v>97</v>
      </c>
      <c r="J134">
        <v>266</v>
      </c>
      <c r="K134" s="9">
        <v>2.5028980925000002E-4</v>
      </c>
      <c r="L134" s="9">
        <v>0.38551123105000001</v>
      </c>
      <c r="M134">
        <v>409709</v>
      </c>
      <c r="N134">
        <v>480584</v>
      </c>
      <c r="O134" s="9">
        <v>0.45220029207000001</v>
      </c>
      <c r="P134" s="11">
        <f>Telengana_Reaults_2019[[#This Row],[BJP Votes]]-Telengana_Reaults_2019[[#This Row],[Max Votes Other than BJP]]</f>
        <v>70875</v>
      </c>
      <c r="Q134" s="9">
        <f>Telengana_Reaults_2019[[#This Row],[BJP Vote Share]]-Telengana_Reaults_2019[[#This Row],[Max Votes Share other than BJP]]</f>
        <v>6.6689061019999996E-2</v>
      </c>
      <c r="R134">
        <v>1062768</v>
      </c>
      <c r="S134">
        <v>1553385</v>
      </c>
      <c r="T134" s="10">
        <v>0.68416265123999997</v>
      </c>
      <c r="U134" s="1" t="s">
        <v>26</v>
      </c>
    </row>
    <row r="135" spans="1:21" x14ac:dyDescent="0.35">
      <c r="A135" s="1" t="s">
        <v>18</v>
      </c>
      <c r="B135" s="1" t="s">
        <v>19</v>
      </c>
      <c r="C135" s="1" t="s">
        <v>140</v>
      </c>
      <c r="D135" s="1" t="s">
        <v>312</v>
      </c>
      <c r="E135" s="1" t="s">
        <v>21</v>
      </c>
      <c r="F135" s="1" t="s">
        <v>95</v>
      </c>
      <c r="G135" s="1" t="s">
        <v>112</v>
      </c>
      <c r="H135" s="1" t="s">
        <v>53</v>
      </c>
      <c r="I135" s="1" t="s">
        <v>313</v>
      </c>
      <c r="J135">
        <v>418</v>
      </c>
      <c r="K135" s="9">
        <v>3.9331255740000001E-4</v>
      </c>
      <c r="L135" s="9">
        <v>0.38551123105000001</v>
      </c>
      <c r="M135">
        <v>409709</v>
      </c>
      <c r="N135">
        <v>480584</v>
      </c>
      <c r="O135" s="9">
        <v>0.45220029207000001</v>
      </c>
      <c r="P135" s="11">
        <f>Telengana_Reaults_2019[[#This Row],[BJP Votes]]-Telengana_Reaults_2019[[#This Row],[Max Votes Other than BJP]]</f>
        <v>70875</v>
      </c>
      <c r="Q135" s="9">
        <f>Telengana_Reaults_2019[[#This Row],[BJP Vote Share]]-Telengana_Reaults_2019[[#This Row],[Max Votes Share other than BJP]]</f>
        <v>6.6689061019999996E-2</v>
      </c>
      <c r="R135">
        <v>1062768</v>
      </c>
      <c r="S135">
        <v>1553385</v>
      </c>
      <c r="T135" s="10">
        <v>0.68416265123999997</v>
      </c>
      <c r="U135" s="1" t="s">
        <v>26</v>
      </c>
    </row>
    <row r="136" spans="1:21" x14ac:dyDescent="0.35">
      <c r="A136" s="1" t="s">
        <v>18</v>
      </c>
      <c r="B136" s="1" t="s">
        <v>19</v>
      </c>
      <c r="C136" s="1" t="s">
        <v>140</v>
      </c>
      <c r="D136" s="1" t="s">
        <v>314</v>
      </c>
      <c r="E136" s="1" t="s">
        <v>21</v>
      </c>
      <c r="F136" s="1" t="s">
        <v>22</v>
      </c>
      <c r="G136" s="1" t="s">
        <v>67</v>
      </c>
      <c r="H136" s="1" t="s">
        <v>53</v>
      </c>
      <c r="I136" s="1" t="s">
        <v>315</v>
      </c>
      <c r="J136">
        <v>325</v>
      </c>
      <c r="K136" s="9">
        <v>3.0580521807000002E-4</v>
      </c>
      <c r="L136" s="9">
        <v>0.38551123105000001</v>
      </c>
      <c r="M136">
        <v>409709</v>
      </c>
      <c r="N136">
        <v>480584</v>
      </c>
      <c r="O136" s="9">
        <v>0.45220029207000001</v>
      </c>
      <c r="P136" s="11">
        <f>Telengana_Reaults_2019[[#This Row],[BJP Votes]]-Telengana_Reaults_2019[[#This Row],[Max Votes Other than BJP]]</f>
        <v>70875</v>
      </c>
      <c r="Q136" s="9">
        <f>Telengana_Reaults_2019[[#This Row],[BJP Vote Share]]-Telengana_Reaults_2019[[#This Row],[Max Votes Share other than BJP]]</f>
        <v>6.6689061019999996E-2</v>
      </c>
      <c r="R136">
        <v>1062768</v>
      </c>
      <c r="S136">
        <v>1553385</v>
      </c>
      <c r="T136" s="10">
        <v>0.68416265123999997</v>
      </c>
      <c r="U136" s="1" t="s">
        <v>26</v>
      </c>
    </row>
    <row r="137" spans="1:21" x14ac:dyDescent="0.35">
      <c r="A137" s="1" t="s">
        <v>18</v>
      </c>
      <c r="B137" s="1" t="s">
        <v>19</v>
      </c>
      <c r="C137" s="1" t="s">
        <v>140</v>
      </c>
      <c r="D137" s="1" t="s">
        <v>316</v>
      </c>
      <c r="E137" s="1" t="s">
        <v>21</v>
      </c>
      <c r="F137" s="1" t="s">
        <v>75</v>
      </c>
      <c r="G137" s="1" t="s">
        <v>112</v>
      </c>
      <c r="H137" s="1" t="s">
        <v>53</v>
      </c>
      <c r="I137" s="1" t="s">
        <v>317</v>
      </c>
      <c r="J137">
        <v>1603</v>
      </c>
      <c r="K137" s="9">
        <v>1.5083254294E-3</v>
      </c>
      <c r="L137" s="9">
        <v>0.38551123105000001</v>
      </c>
      <c r="M137">
        <v>409709</v>
      </c>
      <c r="N137">
        <v>480584</v>
      </c>
      <c r="O137" s="9">
        <v>0.45220029207000001</v>
      </c>
      <c r="P137" s="11">
        <f>Telengana_Reaults_2019[[#This Row],[BJP Votes]]-Telengana_Reaults_2019[[#This Row],[Max Votes Other than BJP]]</f>
        <v>70875</v>
      </c>
      <c r="Q137" s="9">
        <f>Telengana_Reaults_2019[[#This Row],[BJP Vote Share]]-Telengana_Reaults_2019[[#This Row],[Max Votes Share other than BJP]]</f>
        <v>6.6689061019999996E-2</v>
      </c>
      <c r="R137">
        <v>1062768</v>
      </c>
      <c r="S137">
        <v>1553385</v>
      </c>
      <c r="T137" s="10">
        <v>0.68416265123999997</v>
      </c>
      <c r="U137" s="1" t="s">
        <v>26</v>
      </c>
    </row>
    <row r="138" spans="1:21" x14ac:dyDescent="0.35">
      <c r="A138" s="1" t="s">
        <v>18</v>
      </c>
      <c r="B138" s="1" t="s">
        <v>19</v>
      </c>
      <c r="C138" s="1" t="s">
        <v>140</v>
      </c>
      <c r="D138" s="1" t="s">
        <v>318</v>
      </c>
      <c r="E138" s="1" t="s">
        <v>21</v>
      </c>
      <c r="F138" s="1" t="s">
        <v>135</v>
      </c>
      <c r="G138" s="1" t="s">
        <v>112</v>
      </c>
      <c r="H138" s="1" t="s">
        <v>53</v>
      </c>
      <c r="I138" s="1" t="s">
        <v>319</v>
      </c>
      <c r="J138">
        <v>847</v>
      </c>
      <c r="K138" s="9">
        <v>7.9697544524999996E-4</v>
      </c>
      <c r="L138" s="9">
        <v>0.38551123105000001</v>
      </c>
      <c r="M138">
        <v>409709</v>
      </c>
      <c r="N138">
        <v>480584</v>
      </c>
      <c r="O138" s="9">
        <v>0.45220029207000001</v>
      </c>
      <c r="P138" s="11">
        <f>Telengana_Reaults_2019[[#This Row],[BJP Votes]]-Telengana_Reaults_2019[[#This Row],[Max Votes Other than BJP]]</f>
        <v>70875</v>
      </c>
      <c r="Q138" s="9">
        <f>Telengana_Reaults_2019[[#This Row],[BJP Vote Share]]-Telengana_Reaults_2019[[#This Row],[Max Votes Share other than BJP]]</f>
        <v>6.6689061019999996E-2</v>
      </c>
      <c r="R138">
        <v>1062768</v>
      </c>
      <c r="S138">
        <v>1553385</v>
      </c>
      <c r="T138" s="10">
        <v>0.68416265123999997</v>
      </c>
      <c r="U138" s="1" t="s">
        <v>26</v>
      </c>
    </row>
    <row r="139" spans="1:21" x14ac:dyDescent="0.35">
      <c r="A139" s="1" t="s">
        <v>18</v>
      </c>
      <c r="B139" s="1" t="s">
        <v>19</v>
      </c>
      <c r="C139" s="1" t="s">
        <v>140</v>
      </c>
      <c r="D139" s="1" t="s">
        <v>320</v>
      </c>
      <c r="E139" s="1" t="s">
        <v>21</v>
      </c>
      <c r="F139" s="1" t="s">
        <v>160</v>
      </c>
      <c r="G139" s="1" t="s">
        <v>67</v>
      </c>
      <c r="H139" s="1" t="s">
        <v>53</v>
      </c>
      <c r="I139" s="1" t="s">
        <v>321</v>
      </c>
      <c r="J139">
        <v>652</v>
      </c>
      <c r="K139" s="9">
        <v>6.1349231440999998E-4</v>
      </c>
      <c r="L139" s="9">
        <v>0.38551123105000001</v>
      </c>
      <c r="M139">
        <v>409709</v>
      </c>
      <c r="N139">
        <v>480584</v>
      </c>
      <c r="O139" s="9">
        <v>0.45220029207000001</v>
      </c>
      <c r="P139" s="11">
        <f>Telengana_Reaults_2019[[#This Row],[BJP Votes]]-Telengana_Reaults_2019[[#This Row],[Max Votes Other than BJP]]</f>
        <v>70875</v>
      </c>
      <c r="Q139" s="9">
        <f>Telengana_Reaults_2019[[#This Row],[BJP Vote Share]]-Telengana_Reaults_2019[[#This Row],[Max Votes Share other than BJP]]</f>
        <v>6.6689061019999996E-2</v>
      </c>
      <c r="R139">
        <v>1062768</v>
      </c>
      <c r="S139">
        <v>1553385</v>
      </c>
      <c r="T139" s="10">
        <v>0.68416265123999997</v>
      </c>
      <c r="U139" s="1" t="s">
        <v>26</v>
      </c>
    </row>
    <row r="140" spans="1:21" x14ac:dyDescent="0.35">
      <c r="A140" s="1" t="s">
        <v>18</v>
      </c>
      <c r="B140" s="1" t="s">
        <v>19</v>
      </c>
      <c r="C140" s="1" t="s">
        <v>140</v>
      </c>
      <c r="D140" s="1" t="s">
        <v>322</v>
      </c>
      <c r="E140" s="1" t="s">
        <v>21</v>
      </c>
      <c r="F140" s="1" t="s">
        <v>200</v>
      </c>
      <c r="G140" s="1" t="s">
        <v>112</v>
      </c>
      <c r="H140" s="1" t="s">
        <v>53</v>
      </c>
      <c r="I140" s="1" t="s">
        <v>323</v>
      </c>
      <c r="J140">
        <v>431</v>
      </c>
      <c r="K140" s="9">
        <v>4.0554476611999999E-4</v>
      </c>
      <c r="L140" s="9">
        <v>0.38551123105000001</v>
      </c>
      <c r="M140">
        <v>409709</v>
      </c>
      <c r="N140">
        <v>480584</v>
      </c>
      <c r="O140" s="9">
        <v>0.45220029207000001</v>
      </c>
      <c r="P140" s="11">
        <f>Telengana_Reaults_2019[[#This Row],[BJP Votes]]-Telengana_Reaults_2019[[#This Row],[Max Votes Other than BJP]]</f>
        <v>70875</v>
      </c>
      <c r="Q140" s="9">
        <f>Telengana_Reaults_2019[[#This Row],[BJP Vote Share]]-Telengana_Reaults_2019[[#This Row],[Max Votes Share other than BJP]]</f>
        <v>6.6689061019999996E-2</v>
      </c>
      <c r="R140">
        <v>1062768</v>
      </c>
      <c r="S140">
        <v>1553385</v>
      </c>
      <c r="T140" s="10">
        <v>0.68416265123999997</v>
      </c>
      <c r="U140" s="1" t="s">
        <v>26</v>
      </c>
    </row>
    <row r="141" spans="1:21" x14ac:dyDescent="0.35">
      <c r="A141" s="1" t="s">
        <v>18</v>
      </c>
      <c r="B141" s="1" t="s">
        <v>19</v>
      </c>
      <c r="C141" s="1" t="s">
        <v>140</v>
      </c>
      <c r="D141" s="1" t="s">
        <v>324</v>
      </c>
      <c r="E141" s="1" t="s">
        <v>21</v>
      </c>
      <c r="F141" s="1" t="s">
        <v>71</v>
      </c>
      <c r="G141" s="1" t="s">
        <v>112</v>
      </c>
      <c r="H141" s="1" t="s">
        <v>53</v>
      </c>
      <c r="I141" s="1" t="s">
        <v>325</v>
      </c>
      <c r="J141">
        <v>665</v>
      </c>
      <c r="K141" s="9">
        <v>6.2572452312999996E-4</v>
      </c>
      <c r="L141" s="9">
        <v>0.38551123105000001</v>
      </c>
      <c r="M141">
        <v>409709</v>
      </c>
      <c r="N141">
        <v>480584</v>
      </c>
      <c r="O141" s="9">
        <v>0.45220029207000001</v>
      </c>
      <c r="P141" s="11">
        <f>Telengana_Reaults_2019[[#This Row],[BJP Votes]]-Telengana_Reaults_2019[[#This Row],[Max Votes Other than BJP]]</f>
        <v>70875</v>
      </c>
      <c r="Q141" s="9">
        <f>Telengana_Reaults_2019[[#This Row],[BJP Vote Share]]-Telengana_Reaults_2019[[#This Row],[Max Votes Share other than BJP]]</f>
        <v>6.6689061019999996E-2</v>
      </c>
      <c r="R141">
        <v>1062768</v>
      </c>
      <c r="S141">
        <v>1553385</v>
      </c>
      <c r="T141" s="10">
        <v>0.68416265123999997</v>
      </c>
      <c r="U141" s="1" t="s">
        <v>26</v>
      </c>
    </row>
    <row r="142" spans="1:21" x14ac:dyDescent="0.35">
      <c r="A142" s="1" t="s">
        <v>18</v>
      </c>
      <c r="B142" s="1" t="s">
        <v>19</v>
      </c>
      <c r="C142" s="1" t="s">
        <v>140</v>
      </c>
      <c r="D142" s="1" t="s">
        <v>326</v>
      </c>
      <c r="E142" s="1" t="s">
        <v>21</v>
      </c>
      <c r="F142" s="1" t="s">
        <v>205</v>
      </c>
      <c r="G142" s="1" t="s">
        <v>23</v>
      </c>
      <c r="H142" s="1" t="s">
        <v>53</v>
      </c>
      <c r="I142" s="1" t="s">
        <v>327</v>
      </c>
      <c r="J142">
        <v>1057</v>
      </c>
      <c r="K142" s="9">
        <v>9.9457266307999997E-4</v>
      </c>
      <c r="L142" s="9">
        <v>0.38551123105000001</v>
      </c>
      <c r="M142">
        <v>409709</v>
      </c>
      <c r="N142">
        <v>480584</v>
      </c>
      <c r="O142" s="9">
        <v>0.45220029207000001</v>
      </c>
      <c r="P142" s="11">
        <f>Telengana_Reaults_2019[[#This Row],[BJP Votes]]-Telengana_Reaults_2019[[#This Row],[Max Votes Other than BJP]]</f>
        <v>70875</v>
      </c>
      <c r="Q142" s="9">
        <f>Telengana_Reaults_2019[[#This Row],[BJP Vote Share]]-Telengana_Reaults_2019[[#This Row],[Max Votes Share other than BJP]]</f>
        <v>6.6689061019999996E-2</v>
      </c>
      <c r="R142">
        <v>1062768</v>
      </c>
      <c r="S142">
        <v>1553385</v>
      </c>
      <c r="T142" s="10">
        <v>0.68416265123999997</v>
      </c>
      <c r="U142" s="1" t="s">
        <v>26</v>
      </c>
    </row>
    <row r="143" spans="1:21" x14ac:dyDescent="0.35">
      <c r="A143" s="1" t="s">
        <v>18</v>
      </c>
      <c r="B143" s="1" t="s">
        <v>19</v>
      </c>
      <c r="C143" s="1" t="s">
        <v>140</v>
      </c>
      <c r="D143" s="1" t="s">
        <v>328</v>
      </c>
      <c r="E143" s="1" t="s">
        <v>21</v>
      </c>
      <c r="F143" s="1" t="s">
        <v>36</v>
      </c>
      <c r="G143" s="1" t="s">
        <v>112</v>
      </c>
      <c r="H143" s="1" t="s">
        <v>53</v>
      </c>
      <c r="I143" s="1" t="s">
        <v>329</v>
      </c>
      <c r="J143">
        <v>2563</v>
      </c>
      <c r="K143" s="9">
        <v>2.4116269966999999E-3</v>
      </c>
      <c r="L143" s="9">
        <v>0.38551123105000001</v>
      </c>
      <c r="M143">
        <v>409709</v>
      </c>
      <c r="N143">
        <v>480584</v>
      </c>
      <c r="O143" s="9">
        <v>0.45220029207000001</v>
      </c>
      <c r="P143" s="11">
        <f>Telengana_Reaults_2019[[#This Row],[BJP Votes]]-Telengana_Reaults_2019[[#This Row],[Max Votes Other than BJP]]</f>
        <v>70875</v>
      </c>
      <c r="Q143" s="9">
        <f>Telengana_Reaults_2019[[#This Row],[BJP Vote Share]]-Telengana_Reaults_2019[[#This Row],[Max Votes Share other than BJP]]</f>
        <v>6.6689061019999996E-2</v>
      </c>
      <c r="R143">
        <v>1062768</v>
      </c>
      <c r="S143">
        <v>1553385</v>
      </c>
      <c r="T143" s="10">
        <v>0.68416265123999997</v>
      </c>
      <c r="U143" s="1" t="s">
        <v>26</v>
      </c>
    </row>
    <row r="144" spans="1:21" x14ac:dyDescent="0.35">
      <c r="A144" s="1" t="s">
        <v>18</v>
      </c>
      <c r="B144" s="1" t="s">
        <v>19</v>
      </c>
      <c r="C144" s="1" t="s">
        <v>140</v>
      </c>
      <c r="D144" s="1" t="s">
        <v>330</v>
      </c>
      <c r="E144" s="1" t="s">
        <v>21</v>
      </c>
      <c r="F144" s="1" t="s">
        <v>40</v>
      </c>
      <c r="G144" s="1" t="s">
        <v>112</v>
      </c>
      <c r="H144" s="1" t="s">
        <v>53</v>
      </c>
      <c r="I144" s="1" t="s">
        <v>57</v>
      </c>
      <c r="J144">
        <v>2592</v>
      </c>
      <c r="K144" s="9">
        <v>2.4389142315000001E-3</v>
      </c>
      <c r="L144" s="9">
        <v>0.38551123105000001</v>
      </c>
      <c r="M144">
        <v>409709</v>
      </c>
      <c r="N144">
        <v>480584</v>
      </c>
      <c r="O144" s="9">
        <v>0.45220029207000001</v>
      </c>
      <c r="P144" s="11">
        <f>Telengana_Reaults_2019[[#This Row],[BJP Votes]]-Telengana_Reaults_2019[[#This Row],[Max Votes Other than BJP]]</f>
        <v>70875</v>
      </c>
      <c r="Q144" s="9">
        <f>Telengana_Reaults_2019[[#This Row],[BJP Vote Share]]-Telengana_Reaults_2019[[#This Row],[Max Votes Share other than BJP]]</f>
        <v>6.6689061019999996E-2</v>
      </c>
      <c r="R144">
        <v>1062768</v>
      </c>
      <c r="S144">
        <v>1553385</v>
      </c>
      <c r="T144" s="10">
        <v>0.68416265123999997</v>
      </c>
      <c r="U144" s="1" t="s">
        <v>26</v>
      </c>
    </row>
    <row r="145" spans="1:21" x14ac:dyDescent="0.35">
      <c r="A145" s="1" t="s">
        <v>18</v>
      </c>
      <c r="B145" s="1" t="s">
        <v>19</v>
      </c>
      <c r="C145" s="1" t="s">
        <v>140</v>
      </c>
      <c r="D145" s="1" t="s">
        <v>331</v>
      </c>
      <c r="E145" s="1" t="s">
        <v>21</v>
      </c>
      <c r="F145" s="1" t="s">
        <v>234</v>
      </c>
      <c r="G145" s="1" t="s">
        <v>112</v>
      </c>
      <c r="H145" s="1" t="s">
        <v>53</v>
      </c>
      <c r="I145" s="1" t="s">
        <v>332</v>
      </c>
      <c r="J145">
        <v>1364</v>
      </c>
      <c r="K145" s="9">
        <v>1.2834409768000001E-3</v>
      </c>
      <c r="L145" s="9">
        <v>0.38551123105000001</v>
      </c>
      <c r="M145">
        <v>409709</v>
      </c>
      <c r="N145">
        <v>480584</v>
      </c>
      <c r="O145" s="9">
        <v>0.45220029207000001</v>
      </c>
      <c r="P145" s="11">
        <f>Telengana_Reaults_2019[[#This Row],[BJP Votes]]-Telengana_Reaults_2019[[#This Row],[Max Votes Other than BJP]]</f>
        <v>70875</v>
      </c>
      <c r="Q145" s="9">
        <f>Telengana_Reaults_2019[[#This Row],[BJP Vote Share]]-Telengana_Reaults_2019[[#This Row],[Max Votes Share other than BJP]]</f>
        <v>6.6689061019999996E-2</v>
      </c>
      <c r="R145">
        <v>1062768</v>
      </c>
      <c r="S145">
        <v>1553385</v>
      </c>
      <c r="T145" s="10">
        <v>0.68416265123999997</v>
      </c>
      <c r="U145" s="1" t="s">
        <v>26</v>
      </c>
    </row>
    <row r="146" spans="1:21" x14ac:dyDescent="0.35">
      <c r="A146" s="1" t="s">
        <v>18</v>
      </c>
      <c r="B146" s="1" t="s">
        <v>19</v>
      </c>
      <c r="C146" s="1" t="s">
        <v>140</v>
      </c>
      <c r="D146" s="1" t="s">
        <v>333</v>
      </c>
      <c r="E146" s="1" t="s">
        <v>21</v>
      </c>
      <c r="F146" s="1" t="s">
        <v>36</v>
      </c>
      <c r="G146" s="1" t="s">
        <v>23</v>
      </c>
      <c r="H146" s="1" t="s">
        <v>53</v>
      </c>
      <c r="I146" s="1" t="s">
        <v>334</v>
      </c>
      <c r="J146">
        <v>438</v>
      </c>
      <c r="K146" s="9">
        <v>4.1213134004999997E-4</v>
      </c>
      <c r="L146" s="9">
        <v>0.38551123105000001</v>
      </c>
      <c r="M146">
        <v>409709</v>
      </c>
      <c r="N146">
        <v>480584</v>
      </c>
      <c r="O146" s="9">
        <v>0.45220029207000001</v>
      </c>
      <c r="P146" s="11">
        <f>Telengana_Reaults_2019[[#This Row],[BJP Votes]]-Telengana_Reaults_2019[[#This Row],[Max Votes Other than BJP]]</f>
        <v>70875</v>
      </c>
      <c r="Q146" s="9">
        <f>Telengana_Reaults_2019[[#This Row],[BJP Vote Share]]-Telengana_Reaults_2019[[#This Row],[Max Votes Share other than BJP]]</f>
        <v>6.6689061019999996E-2</v>
      </c>
      <c r="R146">
        <v>1062768</v>
      </c>
      <c r="S146">
        <v>1553385</v>
      </c>
      <c r="T146" s="10">
        <v>0.68416265123999997</v>
      </c>
      <c r="U146" s="1" t="s">
        <v>26</v>
      </c>
    </row>
    <row r="147" spans="1:21" x14ac:dyDescent="0.35">
      <c r="A147" s="1" t="s">
        <v>18</v>
      </c>
      <c r="B147" s="1" t="s">
        <v>19</v>
      </c>
      <c r="C147" s="1" t="s">
        <v>140</v>
      </c>
      <c r="D147" s="1" t="s">
        <v>335</v>
      </c>
      <c r="E147" s="1" t="s">
        <v>21</v>
      </c>
      <c r="F147" s="1" t="s">
        <v>143</v>
      </c>
      <c r="G147" s="1" t="s">
        <v>112</v>
      </c>
      <c r="H147" s="1" t="s">
        <v>53</v>
      </c>
      <c r="I147" s="1" t="s">
        <v>336</v>
      </c>
      <c r="J147">
        <v>429</v>
      </c>
      <c r="K147" s="9">
        <v>4.0366288785999998E-4</v>
      </c>
      <c r="L147" s="9">
        <v>0.38551123105000001</v>
      </c>
      <c r="M147">
        <v>409709</v>
      </c>
      <c r="N147">
        <v>480584</v>
      </c>
      <c r="O147" s="9">
        <v>0.45220029207000001</v>
      </c>
      <c r="P147" s="11">
        <f>Telengana_Reaults_2019[[#This Row],[BJP Votes]]-Telengana_Reaults_2019[[#This Row],[Max Votes Other than BJP]]</f>
        <v>70875</v>
      </c>
      <c r="Q147" s="9">
        <f>Telengana_Reaults_2019[[#This Row],[BJP Vote Share]]-Telengana_Reaults_2019[[#This Row],[Max Votes Share other than BJP]]</f>
        <v>6.6689061019999996E-2</v>
      </c>
      <c r="R147">
        <v>1062768</v>
      </c>
      <c r="S147">
        <v>1553385</v>
      </c>
      <c r="T147" s="10">
        <v>0.68416265123999997</v>
      </c>
      <c r="U147" s="1" t="s">
        <v>26</v>
      </c>
    </row>
    <row r="148" spans="1:21" x14ac:dyDescent="0.35">
      <c r="A148" s="1" t="s">
        <v>18</v>
      </c>
      <c r="B148" s="1" t="s">
        <v>19</v>
      </c>
      <c r="C148" s="1" t="s">
        <v>140</v>
      </c>
      <c r="D148" s="1" t="s">
        <v>337</v>
      </c>
      <c r="E148" s="1" t="s">
        <v>21</v>
      </c>
      <c r="F148" s="1" t="s">
        <v>95</v>
      </c>
      <c r="G148" s="1" t="s">
        <v>112</v>
      </c>
      <c r="H148" s="1" t="s">
        <v>53</v>
      </c>
      <c r="I148" s="1" t="s">
        <v>133</v>
      </c>
      <c r="J148">
        <v>863</v>
      </c>
      <c r="K148" s="9">
        <v>8.1203047137000004E-4</v>
      </c>
      <c r="L148" s="9">
        <v>0.38551123105000001</v>
      </c>
      <c r="M148">
        <v>409709</v>
      </c>
      <c r="N148">
        <v>480584</v>
      </c>
      <c r="O148" s="9">
        <v>0.45220029207000001</v>
      </c>
      <c r="P148" s="11">
        <f>Telengana_Reaults_2019[[#This Row],[BJP Votes]]-Telengana_Reaults_2019[[#This Row],[Max Votes Other than BJP]]</f>
        <v>70875</v>
      </c>
      <c r="Q148" s="9">
        <f>Telengana_Reaults_2019[[#This Row],[BJP Vote Share]]-Telengana_Reaults_2019[[#This Row],[Max Votes Share other than BJP]]</f>
        <v>6.6689061019999996E-2</v>
      </c>
      <c r="R148">
        <v>1062768</v>
      </c>
      <c r="S148">
        <v>1553385</v>
      </c>
      <c r="T148" s="10">
        <v>0.68416265123999997</v>
      </c>
      <c r="U148" s="1" t="s">
        <v>26</v>
      </c>
    </row>
    <row r="149" spans="1:21" x14ac:dyDescent="0.35">
      <c r="A149" s="1" t="s">
        <v>18</v>
      </c>
      <c r="B149" s="1" t="s">
        <v>19</v>
      </c>
      <c r="C149" s="1" t="s">
        <v>140</v>
      </c>
      <c r="D149" s="1" t="s">
        <v>338</v>
      </c>
      <c r="E149" s="1" t="s">
        <v>21</v>
      </c>
      <c r="F149" s="1" t="s">
        <v>183</v>
      </c>
      <c r="G149" s="1" t="s">
        <v>112</v>
      </c>
      <c r="H149" s="1" t="s">
        <v>53</v>
      </c>
      <c r="I149" s="1" t="s">
        <v>339</v>
      </c>
      <c r="J149">
        <v>249</v>
      </c>
      <c r="K149" s="9">
        <v>2.3429384399999999E-4</v>
      </c>
      <c r="L149" s="9">
        <v>0.38551123105000001</v>
      </c>
      <c r="M149">
        <v>409709</v>
      </c>
      <c r="N149">
        <v>480584</v>
      </c>
      <c r="O149" s="9">
        <v>0.45220029207000001</v>
      </c>
      <c r="P149" s="11">
        <f>Telengana_Reaults_2019[[#This Row],[BJP Votes]]-Telengana_Reaults_2019[[#This Row],[Max Votes Other than BJP]]</f>
        <v>70875</v>
      </c>
      <c r="Q149" s="9">
        <f>Telengana_Reaults_2019[[#This Row],[BJP Vote Share]]-Telengana_Reaults_2019[[#This Row],[Max Votes Share other than BJP]]</f>
        <v>6.6689061019999996E-2</v>
      </c>
      <c r="R149">
        <v>1062768</v>
      </c>
      <c r="S149">
        <v>1553385</v>
      </c>
      <c r="T149" s="10">
        <v>0.68416265123999997</v>
      </c>
      <c r="U149" s="1" t="s">
        <v>26</v>
      </c>
    </row>
    <row r="150" spans="1:21" x14ac:dyDescent="0.35">
      <c r="A150" s="1" t="s">
        <v>18</v>
      </c>
      <c r="B150" s="1" t="s">
        <v>19</v>
      </c>
      <c r="C150" s="1" t="s">
        <v>140</v>
      </c>
      <c r="D150" s="1" t="s">
        <v>340</v>
      </c>
      <c r="E150" s="1" t="s">
        <v>21</v>
      </c>
      <c r="F150" s="1" t="s">
        <v>28</v>
      </c>
      <c r="G150" s="1" t="s">
        <v>112</v>
      </c>
      <c r="H150" s="1" t="s">
        <v>53</v>
      </c>
      <c r="I150" s="1" t="s">
        <v>341</v>
      </c>
      <c r="J150">
        <v>291</v>
      </c>
      <c r="K150" s="9">
        <v>2.7381328757000001E-4</v>
      </c>
      <c r="L150" s="9">
        <v>0.38551123105000001</v>
      </c>
      <c r="M150">
        <v>409709</v>
      </c>
      <c r="N150">
        <v>480584</v>
      </c>
      <c r="O150" s="9">
        <v>0.45220029207000001</v>
      </c>
      <c r="P150" s="11">
        <f>Telengana_Reaults_2019[[#This Row],[BJP Votes]]-Telengana_Reaults_2019[[#This Row],[Max Votes Other than BJP]]</f>
        <v>70875</v>
      </c>
      <c r="Q150" s="9">
        <f>Telengana_Reaults_2019[[#This Row],[BJP Vote Share]]-Telengana_Reaults_2019[[#This Row],[Max Votes Share other than BJP]]</f>
        <v>6.6689061019999996E-2</v>
      </c>
      <c r="R150">
        <v>1062768</v>
      </c>
      <c r="S150">
        <v>1553385</v>
      </c>
      <c r="T150" s="10">
        <v>0.68416265123999997</v>
      </c>
      <c r="U150" s="1" t="s">
        <v>26</v>
      </c>
    </row>
    <row r="151" spans="1:21" x14ac:dyDescent="0.35">
      <c r="A151" s="1" t="s">
        <v>18</v>
      </c>
      <c r="B151" s="1" t="s">
        <v>19</v>
      </c>
      <c r="C151" s="1" t="s">
        <v>140</v>
      </c>
      <c r="D151" s="1" t="s">
        <v>342</v>
      </c>
      <c r="E151" s="1" t="s">
        <v>21</v>
      </c>
      <c r="F151" s="1" t="s">
        <v>120</v>
      </c>
      <c r="G151" s="1" t="s">
        <v>67</v>
      </c>
      <c r="H151" s="1" t="s">
        <v>53</v>
      </c>
      <c r="I151" s="1" t="s">
        <v>343</v>
      </c>
      <c r="J151">
        <v>616</v>
      </c>
      <c r="K151" s="9">
        <v>5.7961850563999998E-4</v>
      </c>
      <c r="L151" s="9">
        <v>0.38551123105000001</v>
      </c>
      <c r="M151">
        <v>409709</v>
      </c>
      <c r="N151">
        <v>480584</v>
      </c>
      <c r="O151" s="9">
        <v>0.45220029207000001</v>
      </c>
      <c r="P151" s="11">
        <f>Telengana_Reaults_2019[[#This Row],[BJP Votes]]-Telengana_Reaults_2019[[#This Row],[Max Votes Other than BJP]]</f>
        <v>70875</v>
      </c>
      <c r="Q151" s="9">
        <f>Telengana_Reaults_2019[[#This Row],[BJP Vote Share]]-Telengana_Reaults_2019[[#This Row],[Max Votes Share other than BJP]]</f>
        <v>6.6689061019999996E-2</v>
      </c>
      <c r="R151">
        <v>1062768</v>
      </c>
      <c r="S151">
        <v>1553385</v>
      </c>
      <c r="T151" s="10">
        <v>0.68416265123999997</v>
      </c>
      <c r="U151" s="1" t="s">
        <v>26</v>
      </c>
    </row>
    <row r="152" spans="1:21" x14ac:dyDescent="0.35">
      <c r="A152" s="1" t="s">
        <v>18</v>
      </c>
      <c r="B152" s="1" t="s">
        <v>19</v>
      </c>
      <c r="C152" s="1" t="s">
        <v>140</v>
      </c>
      <c r="D152" s="1" t="s">
        <v>344</v>
      </c>
      <c r="E152" s="1" t="s">
        <v>21</v>
      </c>
      <c r="F152" s="1" t="s">
        <v>160</v>
      </c>
      <c r="G152" s="1" t="s">
        <v>67</v>
      </c>
      <c r="H152" s="1" t="s">
        <v>53</v>
      </c>
      <c r="I152" s="1" t="s">
        <v>345</v>
      </c>
      <c r="J152">
        <v>388</v>
      </c>
      <c r="K152" s="9">
        <v>3.6508438342000002E-4</v>
      </c>
      <c r="L152" s="9">
        <v>0.38551123105000001</v>
      </c>
      <c r="M152">
        <v>409709</v>
      </c>
      <c r="N152">
        <v>480584</v>
      </c>
      <c r="O152" s="9">
        <v>0.45220029207000001</v>
      </c>
      <c r="P152" s="11">
        <f>Telengana_Reaults_2019[[#This Row],[BJP Votes]]-Telengana_Reaults_2019[[#This Row],[Max Votes Other than BJP]]</f>
        <v>70875</v>
      </c>
      <c r="Q152" s="9">
        <f>Telengana_Reaults_2019[[#This Row],[BJP Vote Share]]-Telengana_Reaults_2019[[#This Row],[Max Votes Share other than BJP]]</f>
        <v>6.6689061019999996E-2</v>
      </c>
      <c r="R152">
        <v>1062768</v>
      </c>
      <c r="S152">
        <v>1553385</v>
      </c>
      <c r="T152" s="10">
        <v>0.68416265123999997</v>
      </c>
      <c r="U152" s="1" t="s">
        <v>26</v>
      </c>
    </row>
    <row r="153" spans="1:21" x14ac:dyDescent="0.35">
      <c r="A153" s="1" t="s">
        <v>18</v>
      </c>
      <c r="B153" s="1" t="s">
        <v>19</v>
      </c>
      <c r="C153" s="1" t="s">
        <v>140</v>
      </c>
      <c r="D153" s="1" t="s">
        <v>346</v>
      </c>
      <c r="E153" s="1" t="s">
        <v>21</v>
      </c>
      <c r="F153" s="1" t="s">
        <v>115</v>
      </c>
      <c r="G153" s="1" t="s">
        <v>67</v>
      </c>
      <c r="H153" s="1" t="s">
        <v>53</v>
      </c>
      <c r="I153" s="1" t="s">
        <v>347</v>
      </c>
      <c r="J153">
        <v>228</v>
      </c>
      <c r="K153" s="9">
        <v>2.1453412221999999E-4</v>
      </c>
      <c r="L153" s="9">
        <v>0.38551123105000001</v>
      </c>
      <c r="M153">
        <v>409709</v>
      </c>
      <c r="N153">
        <v>480584</v>
      </c>
      <c r="O153" s="9">
        <v>0.45220029207000001</v>
      </c>
      <c r="P153" s="11">
        <f>Telengana_Reaults_2019[[#This Row],[BJP Votes]]-Telengana_Reaults_2019[[#This Row],[Max Votes Other than BJP]]</f>
        <v>70875</v>
      </c>
      <c r="Q153" s="9">
        <f>Telengana_Reaults_2019[[#This Row],[BJP Vote Share]]-Telengana_Reaults_2019[[#This Row],[Max Votes Share other than BJP]]</f>
        <v>6.6689061019999996E-2</v>
      </c>
      <c r="R153">
        <v>1062768</v>
      </c>
      <c r="S153">
        <v>1553385</v>
      </c>
      <c r="T153" s="10">
        <v>0.68416265123999997</v>
      </c>
      <c r="U153" s="1" t="s">
        <v>26</v>
      </c>
    </row>
    <row r="154" spans="1:21" x14ac:dyDescent="0.35">
      <c r="A154" s="1" t="s">
        <v>18</v>
      </c>
      <c r="B154" s="1" t="s">
        <v>19</v>
      </c>
      <c r="C154" s="1" t="s">
        <v>140</v>
      </c>
      <c r="D154" s="1" t="s">
        <v>348</v>
      </c>
      <c r="E154" s="1" t="s">
        <v>21</v>
      </c>
      <c r="F154" s="1" t="s">
        <v>106</v>
      </c>
      <c r="G154" s="1" t="s">
        <v>112</v>
      </c>
      <c r="H154" s="1" t="s">
        <v>53</v>
      </c>
      <c r="I154" s="1" t="s">
        <v>349</v>
      </c>
      <c r="J154">
        <v>156</v>
      </c>
      <c r="K154" s="9">
        <v>1.4678650467E-4</v>
      </c>
      <c r="L154" s="9">
        <v>0.38551123105000001</v>
      </c>
      <c r="M154">
        <v>409709</v>
      </c>
      <c r="N154">
        <v>480584</v>
      </c>
      <c r="O154" s="9">
        <v>0.45220029207000001</v>
      </c>
      <c r="P154" s="11">
        <f>Telengana_Reaults_2019[[#This Row],[BJP Votes]]-Telengana_Reaults_2019[[#This Row],[Max Votes Other than BJP]]</f>
        <v>70875</v>
      </c>
      <c r="Q154" s="9">
        <f>Telengana_Reaults_2019[[#This Row],[BJP Vote Share]]-Telengana_Reaults_2019[[#This Row],[Max Votes Share other than BJP]]</f>
        <v>6.6689061019999996E-2</v>
      </c>
      <c r="R154">
        <v>1062768</v>
      </c>
      <c r="S154">
        <v>1553385</v>
      </c>
      <c r="T154" s="10">
        <v>0.68416265123999997</v>
      </c>
      <c r="U154" s="1" t="s">
        <v>26</v>
      </c>
    </row>
    <row r="155" spans="1:21" x14ac:dyDescent="0.35">
      <c r="A155" s="1" t="s">
        <v>18</v>
      </c>
      <c r="B155" s="1" t="s">
        <v>19</v>
      </c>
      <c r="C155" s="1" t="s">
        <v>140</v>
      </c>
      <c r="D155" s="1" t="s">
        <v>350</v>
      </c>
      <c r="E155" s="1" t="s">
        <v>21</v>
      </c>
      <c r="F155" s="1" t="s">
        <v>125</v>
      </c>
      <c r="G155" s="1" t="s">
        <v>112</v>
      </c>
      <c r="H155" s="1" t="s">
        <v>53</v>
      </c>
      <c r="I155" s="1" t="s">
        <v>351</v>
      </c>
      <c r="J155">
        <v>236</v>
      </c>
      <c r="K155" s="9">
        <v>2.2206163528000001E-4</v>
      </c>
      <c r="L155" s="9">
        <v>0.38551123105000001</v>
      </c>
      <c r="M155">
        <v>409709</v>
      </c>
      <c r="N155">
        <v>480584</v>
      </c>
      <c r="O155" s="9">
        <v>0.45220029207000001</v>
      </c>
      <c r="P155" s="11">
        <f>Telengana_Reaults_2019[[#This Row],[BJP Votes]]-Telengana_Reaults_2019[[#This Row],[Max Votes Other than BJP]]</f>
        <v>70875</v>
      </c>
      <c r="Q155" s="9">
        <f>Telengana_Reaults_2019[[#This Row],[BJP Vote Share]]-Telengana_Reaults_2019[[#This Row],[Max Votes Share other than BJP]]</f>
        <v>6.6689061019999996E-2</v>
      </c>
      <c r="R155">
        <v>1062768</v>
      </c>
      <c r="S155">
        <v>1553385</v>
      </c>
      <c r="T155" s="10">
        <v>0.68416265123999997</v>
      </c>
      <c r="U155" s="1" t="s">
        <v>26</v>
      </c>
    </row>
    <row r="156" spans="1:21" x14ac:dyDescent="0.35">
      <c r="A156" s="1" t="s">
        <v>18</v>
      </c>
      <c r="B156" s="1" t="s">
        <v>19</v>
      </c>
      <c r="C156" s="1" t="s">
        <v>140</v>
      </c>
      <c r="D156" s="1" t="s">
        <v>352</v>
      </c>
      <c r="E156" s="1" t="s">
        <v>21</v>
      </c>
      <c r="F156" s="1" t="s">
        <v>353</v>
      </c>
      <c r="G156" s="1" t="s">
        <v>112</v>
      </c>
      <c r="H156" s="1" t="s">
        <v>53</v>
      </c>
      <c r="I156" s="1" t="s">
        <v>354</v>
      </c>
      <c r="J156">
        <v>312</v>
      </c>
      <c r="K156" s="9">
        <v>2.9357300934999998E-4</v>
      </c>
      <c r="L156" s="9">
        <v>0.38551123105000001</v>
      </c>
      <c r="M156">
        <v>409709</v>
      </c>
      <c r="N156">
        <v>480584</v>
      </c>
      <c r="O156" s="9">
        <v>0.45220029207000001</v>
      </c>
      <c r="P156" s="11">
        <f>Telengana_Reaults_2019[[#This Row],[BJP Votes]]-Telengana_Reaults_2019[[#This Row],[Max Votes Other than BJP]]</f>
        <v>70875</v>
      </c>
      <c r="Q156" s="9">
        <f>Telengana_Reaults_2019[[#This Row],[BJP Vote Share]]-Telengana_Reaults_2019[[#This Row],[Max Votes Share other than BJP]]</f>
        <v>6.6689061019999996E-2</v>
      </c>
      <c r="R156">
        <v>1062768</v>
      </c>
      <c r="S156">
        <v>1553385</v>
      </c>
      <c r="T156" s="10">
        <v>0.68416265123999997</v>
      </c>
      <c r="U156" s="1" t="s">
        <v>26</v>
      </c>
    </row>
    <row r="157" spans="1:21" x14ac:dyDescent="0.35">
      <c r="A157" s="1" t="s">
        <v>18</v>
      </c>
      <c r="B157" s="1" t="s">
        <v>19</v>
      </c>
      <c r="C157" s="1" t="s">
        <v>140</v>
      </c>
      <c r="D157" s="1" t="s">
        <v>355</v>
      </c>
      <c r="E157" s="1" t="s">
        <v>21</v>
      </c>
      <c r="F157" s="1" t="s">
        <v>48</v>
      </c>
      <c r="G157" s="1" t="s">
        <v>112</v>
      </c>
      <c r="H157" s="1" t="s">
        <v>53</v>
      </c>
      <c r="I157" s="1" t="s">
        <v>356</v>
      </c>
      <c r="J157">
        <v>335</v>
      </c>
      <c r="K157" s="9">
        <v>3.1521460939999999E-4</v>
      </c>
      <c r="L157" s="9">
        <v>0.38551123105000001</v>
      </c>
      <c r="M157">
        <v>409709</v>
      </c>
      <c r="N157">
        <v>480584</v>
      </c>
      <c r="O157" s="9">
        <v>0.45220029207000001</v>
      </c>
      <c r="P157" s="11">
        <f>Telengana_Reaults_2019[[#This Row],[BJP Votes]]-Telengana_Reaults_2019[[#This Row],[Max Votes Other than BJP]]</f>
        <v>70875</v>
      </c>
      <c r="Q157" s="9">
        <f>Telengana_Reaults_2019[[#This Row],[BJP Vote Share]]-Telengana_Reaults_2019[[#This Row],[Max Votes Share other than BJP]]</f>
        <v>6.6689061019999996E-2</v>
      </c>
      <c r="R157">
        <v>1062768</v>
      </c>
      <c r="S157">
        <v>1553385</v>
      </c>
      <c r="T157" s="10">
        <v>0.68416265123999997</v>
      </c>
      <c r="U157" s="1" t="s">
        <v>26</v>
      </c>
    </row>
    <row r="158" spans="1:21" x14ac:dyDescent="0.35">
      <c r="A158" s="1" t="s">
        <v>18</v>
      </c>
      <c r="B158" s="1" t="s">
        <v>19</v>
      </c>
      <c r="C158" s="1" t="s">
        <v>140</v>
      </c>
      <c r="D158" s="1" t="s">
        <v>357</v>
      </c>
      <c r="E158" s="1" t="s">
        <v>21</v>
      </c>
      <c r="F158" s="1" t="s">
        <v>205</v>
      </c>
      <c r="G158" s="1" t="s">
        <v>112</v>
      </c>
      <c r="H158" s="1" t="s">
        <v>53</v>
      </c>
      <c r="I158" s="1" t="s">
        <v>358</v>
      </c>
      <c r="J158">
        <v>781</v>
      </c>
      <c r="K158" s="9">
        <v>7.3487346250999995E-4</v>
      </c>
      <c r="L158" s="9">
        <v>0.38551123105000001</v>
      </c>
      <c r="M158">
        <v>409709</v>
      </c>
      <c r="N158">
        <v>480584</v>
      </c>
      <c r="O158" s="9">
        <v>0.45220029207000001</v>
      </c>
      <c r="P158" s="11">
        <f>Telengana_Reaults_2019[[#This Row],[BJP Votes]]-Telengana_Reaults_2019[[#This Row],[Max Votes Other than BJP]]</f>
        <v>70875</v>
      </c>
      <c r="Q158" s="9">
        <f>Telengana_Reaults_2019[[#This Row],[BJP Vote Share]]-Telengana_Reaults_2019[[#This Row],[Max Votes Share other than BJP]]</f>
        <v>6.6689061019999996E-2</v>
      </c>
      <c r="R158">
        <v>1062768</v>
      </c>
      <c r="S158">
        <v>1553385</v>
      </c>
      <c r="T158" s="10">
        <v>0.68416265123999997</v>
      </c>
      <c r="U158" s="1" t="s">
        <v>26</v>
      </c>
    </row>
    <row r="159" spans="1:21" x14ac:dyDescent="0.35">
      <c r="A159" s="1" t="s">
        <v>18</v>
      </c>
      <c r="B159" s="1" t="s">
        <v>19</v>
      </c>
      <c r="C159" s="1" t="s">
        <v>140</v>
      </c>
      <c r="D159" s="1" t="s">
        <v>359</v>
      </c>
      <c r="E159" s="1" t="s">
        <v>21</v>
      </c>
      <c r="F159" s="1" t="s">
        <v>44</v>
      </c>
      <c r="G159" s="1" t="s">
        <v>67</v>
      </c>
      <c r="H159" s="1" t="s">
        <v>53</v>
      </c>
      <c r="I159" s="1" t="s">
        <v>360</v>
      </c>
      <c r="J159">
        <v>1701</v>
      </c>
      <c r="K159" s="9">
        <v>1.6005374644E-3</v>
      </c>
      <c r="L159" s="9">
        <v>0.38551123105000001</v>
      </c>
      <c r="M159">
        <v>409709</v>
      </c>
      <c r="N159">
        <v>480584</v>
      </c>
      <c r="O159" s="9">
        <v>0.45220029207000001</v>
      </c>
      <c r="P159" s="11">
        <f>Telengana_Reaults_2019[[#This Row],[BJP Votes]]-Telengana_Reaults_2019[[#This Row],[Max Votes Other than BJP]]</f>
        <v>70875</v>
      </c>
      <c r="Q159" s="9">
        <f>Telengana_Reaults_2019[[#This Row],[BJP Vote Share]]-Telengana_Reaults_2019[[#This Row],[Max Votes Share other than BJP]]</f>
        <v>6.6689061019999996E-2</v>
      </c>
      <c r="R159">
        <v>1062768</v>
      </c>
      <c r="S159">
        <v>1553385</v>
      </c>
      <c r="T159" s="10">
        <v>0.68416265123999997</v>
      </c>
      <c r="U159" s="1" t="s">
        <v>26</v>
      </c>
    </row>
    <row r="160" spans="1:21" x14ac:dyDescent="0.35">
      <c r="A160" s="1" t="s">
        <v>18</v>
      </c>
      <c r="B160" s="1" t="s">
        <v>19</v>
      </c>
      <c r="C160" s="1" t="s">
        <v>140</v>
      </c>
      <c r="D160" s="1" t="s">
        <v>361</v>
      </c>
      <c r="E160" s="1" t="s">
        <v>21</v>
      </c>
      <c r="F160" s="1" t="s">
        <v>362</v>
      </c>
      <c r="G160" s="1" t="s">
        <v>112</v>
      </c>
      <c r="H160" s="1" t="s">
        <v>53</v>
      </c>
      <c r="I160" s="1" t="s">
        <v>363</v>
      </c>
      <c r="J160">
        <v>834</v>
      </c>
      <c r="K160" s="9">
        <v>7.8474323652999998E-4</v>
      </c>
      <c r="L160" s="9">
        <v>0.38551123105000001</v>
      </c>
      <c r="M160">
        <v>409709</v>
      </c>
      <c r="N160">
        <v>480584</v>
      </c>
      <c r="O160" s="9">
        <v>0.45220029207000001</v>
      </c>
      <c r="P160" s="11">
        <f>Telengana_Reaults_2019[[#This Row],[BJP Votes]]-Telengana_Reaults_2019[[#This Row],[Max Votes Other than BJP]]</f>
        <v>70875</v>
      </c>
      <c r="Q160" s="9">
        <f>Telengana_Reaults_2019[[#This Row],[BJP Vote Share]]-Telengana_Reaults_2019[[#This Row],[Max Votes Share other than BJP]]</f>
        <v>6.6689061019999996E-2</v>
      </c>
      <c r="R160">
        <v>1062768</v>
      </c>
      <c r="S160">
        <v>1553385</v>
      </c>
      <c r="T160" s="10">
        <v>0.68416265123999997</v>
      </c>
      <c r="U160" s="1" t="s">
        <v>26</v>
      </c>
    </row>
    <row r="161" spans="1:21" x14ac:dyDescent="0.35">
      <c r="A161" s="1" t="s">
        <v>18</v>
      </c>
      <c r="B161" s="1" t="s">
        <v>19</v>
      </c>
      <c r="C161" s="1" t="s">
        <v>140</v>
      </c>
      <c r="D161" s="1" t="s">
        <v>364</v>
      </c>
      <c r="E161" s="1" t="s">
        <v>21</v>
      </c>
      <c r="F161" s="1" t="s">
        <v>28</v>
      </c>
      <c r="G161" s="1" t="s">
        <v>112</v>
      </c>
      <c r="H161" s="1" t="s">
        <v>53</v>
      </c>
      <c r="I161" s="1" t="s">
        <v>365</v>
      </c>
      <c r="J161">
        <v>467</v>
      </c>
      <c r="K161" s="9">
        <v>4.3941857488999998E-4</v>
      </c>
      <c r="L161" s="9">
        <v>0.38551123105000001</v>
      </c>
      <c r="M161">
        <v>409709</v>
      </c>
      <c r="N161">
        <v>480584</v>
      </c>
      <c r="O161" s="9">
        <v>0.45220029207000001</v>
      </c>
      <c r="P161" s="11">
        <f>Telengana_Reaults_2019[[#This Row],[BJP Votes]]-Telengana_Reaults_2019[[#This Row],[Max Votes Other than BJP]]</f>
        <v>70875</v>
      </c>
      <c r="Q161" s="9">
        <f>Telengana_Reaults_2019[[#This Row],[BJP Vote Share]]-Telengana_Reaults_2019[[#This Row],[Max Votes Share other than BJP]]</f>
        <v>6.6689061019999996E-2</v>
      </c>
      <c r="R161">
        <v>1062768</v>
      </c>
      <c r="S161">
        <v>1553385</v>
      </c>
      <c r="T161" s="10">
        <v>0.68416265123999997</v>
      </c>
      <c r="U161" s="1" t="s">
        <v>26</v>
      </c>
    </row>
    <row r="162" spans="1:21" x14ac:dyDescent="0.35">
      <c r="A162" s="1" t="s">
        <v>18</v>
      </c>
      <c r="B162" s="1" t="s">
        <v>19</v>
      </c>
      <c r="C162" s="1" t="s">
        <v>140</v>
      </c>
      <c r="D162" s="1" t="s">
        <v>366</v>
      </c>
      <c r="E162" s="1" t="s">
        <v>21</v>
      </c>
      <c r="F162" s="1" t="s">
        <v>56</v>
      </c>
      <c r="G162" s="1" t="s">
        <v>112</v>
      </c>
      <c r="H162" s="1" t="s">
        <v>53</v>
      </c>
      <c r="I162" s="1" t="s">
        <v>367</v>
      </c>
      <c r="J162">
        <v>296</v>
      </c>
      <c r="K162" s="9">
        <v>2.7851798323000001E-4</v>
      </c>
      <c r="L162" s="9">
        <v>0.38551123105000001</v>
      </c>
      <c r="M162">
        <v>409709</v>
      </c>
      <c r="N162">
        <v>480584</v>
      </c>
      <c r="O162" s="9">
        <v>0.45220029207000001</v>
      </c>
      <c r="P162" s="11">
        <f>Telengana_Reaults_2019[[#This Row],[BJP Votes]]-Telengana_Reaults_2019[[#This Row],[Max Votes Other than BJP]]</f>
        <v>70875</v>
      </c>
      <c r="Q162" s="9">
        <f>Telengana_Reaults_2019[[#This Row],[BJP Vote Share]]-Telengana_Reaults_2019[[#This Row],[Max Votes Share other than BJP]]</f>
        <v>6.6689061019999996E-2</v>
      </c>
      <c r="R162">
        <v>1062768</v>
      </c>
      <c r="S162">
        <v>1553385</v>
      </c>
      <c r="T162" s="10">
        <v>0.68416265123999997</v>
      </c>
      <c r="U162" s="1" t="s">
        <v>26</v>
      </c>
    </row>
    <row r="163" spans="1:21" x14ac:dyDescent="0.35">
      <c r="A163" s="1" t="s">
        <v>18</v>
      </c>
      <c r="B163" s="1" t="s">
        <v>19</v>
      </c>
      <c r="C163" s="1" t="s">
        <v>140</v>
      </c>
      <c r="D163" s="1" t="s">
        <v>368</v>
      </c>
      <c r="E163" s="1" t="s">
        <v>21</v>
      </c>
      <c r="F163" s="1" t="s">
        <v>48</v>
      </c>
      <c r="G163" s="1" t="s">
        <v>112</v>
      </c>
      <c r="H163" s="1" t="s">
        <v>53</v>
      </c>
      <c r="I163" s="1" t="s">
        <v>369</v>
      </c>
      <c r="J163">
        <v>891</v>
      </c>
      <c r="K163" s="9">
        <v>8.3837676708000005E-4</v>
      </c>
      <c r="L163" s="9">
        <v>0.38551123105000001</v>
      </c>
      <c r="M163">
        <v>409709</v>
      </c>
      <c r="N163">
        <v>480584</v>
      </c>
      <c r="O163" s="9">
        <v>0.45220029207000001</v>
      </c>
      <c r="P163" s="11">
        <f>Telengana_Reaults_2019[[#This Row],[BJP Votes]]-Telengana_Reaults_2019[[#This Row],[Max Votes Other than BJP]]</f>
        <v>70875</v>
      </c>
      <c r="Q163" s="9">
        <f>Telengana_Reaults_2019[[#This Row],[BJP Vote Share]]-Telengana_Reaults_2019[[#This Row],[Max Votes Share other than BJP]]</f>
        <v>6.6689061019999996E-2</v>
      </c>
      <c r="R163">
        <v>1062768</v>
      </c>
      <c r="S163">
        <v>1553385</v>
      </c>
      <c r="T163" s="10">
        <v>0.68416265123999997</v>
      </c>
      <c r="U163" s="1" t="s">
        <v>26</v>
      </c>
    </row>
    <row r="164" spans="1:21" x14ac:dyDescent="0.35">
      <c r="A164" s="1" t="s">
        <v>18</v>
      </c>
      <c r="B164" s="1" t="s">
        <v>19</v>
      </c>
      <c r="C164" s="1" t="s">
        <v>140</v>
      </c>
      <c r="D164" s="1" t="s">
        <v>370</v>
      </c>
      <c r="E164" s="1" t="s">
        <v>21</v>
      </c>
      <c r="F164" s="1" t="s">
        <v>120</v>
      </c>
      <c r="G164" s="1" t="s">
        <v>112</v>
      </c>
      <c r="H164" s="1" t="s">
        <v>53</v>
      </c>
      <c r="I164" s="1" t="s">
        <v>371</v>
      </c>
      <c r="J164">
        <v>153</v>
      </c>
      <c r="K164" s="9">
        <v>1.4396368727999999E-4</v>
      </c>
      <c r="L164" s="9">
        <v>0.38551123105000001</v>
      </c>
      <c r="M164">
        <v>409709</v>
      </c>
      <c r="N164">
        <v>480584</v>
      </c>
      <c r="O164" s="9">
        <v>0.45220029207000001</v>
      </c>
      <c r="P164" s="11">
        <f>Telengana_Reaults_2019[[#This Row],[BJP Votes]]-Telengana_Reaults_2019[[#This Row],[Max Votes Other than BJP]]</f>
        <v>70875</v>
      </c>
      <c r="Q164" s="9">
        <f>Telengana_Reaults_2019[[#This Row],[BJP Vote Share]]-Telengana_Reaults_2019[[#This Row],[Max Votes Share other than BJP]]</f>
        <v>6.6689061019999996E-2</v>
      </c>
      <c r="R164">
        <v>1062768</v>
      </c>
      <c r="S164">
        <v>1553385</v>
      </c>
      <c r="T164" s="10">
        <v>0.68416265123999997</v>
      </c>
      <c r="U164" s="1" t="s">
        <v>26</v>
      </c>
    </row>
    <row r="165" spans="1:21" x14ac:dyDescent="0.35">
      <c r="A165" s="1" t="s">
        <v>18</v>
      </c>
      <c r="B165" s="1" t="s">
        <v>19</v>
      </c>
      <c r="C165" s="1" t="s">
        <v>140</v>
      </c>
      <c r="D165" s="1" t="s">
        <v>372</v>
      </c>
      <c r="E165" s="1" t="s">
        <v>21</v>
      </c>
      <c r="F165" s="1" t="s">
        <v>165</v>
      </c>
      <c r="G165" s="1" t="s">
        <v>112</v>
      </c>
      <c r="H165" s="1" t="s">
        <v>53</v>
      </c>
      <c r="I165" s="1" t="s">
        <v>373</v>
      </c>
      <c r="J165">
        <v>189</v>
      </c>
      <c r="K165" s="9">
        <v>1.7783749605000001E-4</v>
      </c>
      <c r="L165" s="9">
        <v>0.38551123105000001</v>
      </c>
      <c r="M165">
        <v>409709</v>
      </c>
      <c r="N165">
        <v>480584</v>
      </c>
      <c r="O165" s="9">
        <v>0.45220029207000001</v>
      </c>
      <c r="P165" s="11">
        <f>Telengana_Reaults_2019[[#This Row],[BJP Votes]]-Telengana_Reaults_2019[[#This Row],[Max Votes Other than BJP]]</f>
        <v>70875</v>
      </c>
      <c r="Q165" s="9">
        <f>Telengana_Reaults_2019[[#This Row],[BJP Vote Share]]-Telengana_Reaults_2019[[#This Row],[Max Votes Share other than BJP]]</f>
        <v>6.6689061019999996E-2</v>
      </c>
      <c r="R165">
        <v>1062768</v>
      </c>
      <c r="S165">
        <v>1553385</v>
      </c>
      <c r="T165" s="10">
        <v>0.68416265123999997</v>
      </c>
      <c r="U165" s="1" t="s">
        <v>26</v>
      </c>
    </row>
    <row r="166" spans="1:21" x14ac:dyDescent="0.35">
      <c r="A166" s="1" t="s">
        <v>18</v>
      </c>
      <c r="B166" s="1" t="s">
        <v>19</v>
      </c>
      <c r="C166" s="1" t="s">
        <v>140</v>
      </c>
      <c r="D166" s="1" t="s">
        <v>374</v>
      </c>
      <c r="E166" s="1" t="s">
        <v>21</v>
      </c>
      <c r="F166" s="1" t="s">
        <v>183</v>
      </c>
      <c r="G166" s="1" t="s">
        <v>112</v>
      </c>
      <c r="H166" s="1" t="s">
        <v>53</v>
      </c>
      <c r="I166" s="1" t="s">
        <v>375</v>
      </c>
      <c r="J166">
        <v>180</v>
      </c>
      <c r="K166" s="9">
        <v>1.6936904385999999E-4</v>
      </c>
      <c r="L166" s="9">
        <v>0.38551123105000001</v>
      </c>
      <c r="M166">
        <v>409709</v>
      </c>
      <c r="N166">
        <v>480584</v>
      </c>
      <c r="O166" s="9">
        <v>0.45220029207000001</v>
      </c>
      <c r="P166" s="11">
        <f>Telengana_Reaults_2019[[#This Row],[BJP Votes]]-Telengana_Reaults_2019[[#This Row],[Max Votes Other than BJP]]</f>
        <v>70875</v>
      </c>
      <c r="Q166" s="9">
        <f>Telengana_Reaults_2019[[#This Row],[BJP Vote Share]]-Telengana_Reaults_2019[[#This Row],[Max Votes Share other than BJP]]</f>
        <v>6.6689061019999996E-2</v>
      </c>
      <c r="R166">
        <v>1062768</v>
      </c>
      <c r="S166">
        <v>1553385</v>
      </c>
      <c r="T166" s="10">
        <v>0.68416265123999997</v>
      </c>
      <c r="U166" s="1" t="s">
        <v>26</v>
      </c>
    </row>
    <row r="167" spans="1:21" x14ac:dyDescent="0.35">
      <c r="A167" s="1" t="s">
        <v>18</v>
      </c>
      <c r="B167" s="1" t="s">
        <v>19</v>
      </c>
      <c r="C167" s="1" t="s">
        <v>140</v>
      </c>
      <c r="D167" s="1" t="s">
        <v>376</v>
      </c>
      <c r="E167" s="1" t="s">
        <v>21</v>
      </c>
      <c r="F167" s="1" t="s">
        <v>99</v>
      </c>
      <c r="G167" s="1" t="s">
        <v>112</v>
      </c>
      <c r="H167" s="1" t="s">
        <v>53</v>
      </c>
      <c r="I167" s="1" t="s">
        <v>377</v>
      </c>
      <c r="J167">
        <v>280</v>
      </c>
      <c r="K167" s="9">
        <v>2.6346295710999999E-4</v>
      </c>
      <c r="L167" s="9">
        <v>0.38551123105000001</v>
      </c>
      <c r="M167">
        <v>409709</v>
      </c>
      <c r="N167">
        <v>480584</v>
      </c>
      <c r="O167" s="9">
        <v>0.45220029207000001</v>
      </c>
      <c r="P167" s="11">
        <f>Telengana_Reaults_2019[[#This Row],[BJP Votes]]-Telengana_Reaults_2019[[#This Row],[Max Votes Other than BJP]]</f>
        <v>70875</v>
      </c>
      <c r="Q167" s="9">
        <f>Telengana_Reaults_2019[[#This Row],[BJP Vote Share]]-Telengana_Reaults_2019[[#This Row],[Max Votes Share other than BJP]]</f>
        <v>6.6689061019999996E-2</v>
      </c>
      <c r="R167">
        <v>1062768</v>
      </c>
      <c r="S167">
        <v>1553385</v>
      </c>
      <c r="T167" s="10">
        <v>0.68416265123999997</v>
      </c>
      <c r="U167" s="1" t="s">
        <v>26</v>
      </c>
    </row>
    <row r="168" spans="1:21" x14ac:dyDescent="0.35">
      <c r="A168" s="1" t="s">
        <v>18</v>
      </c>
      <c r="B168" s="1" t="s">
        <v>19</v>
      </c>
      <c r="C168" s="1" t="s">
        <v>140</v>
      </c>
      <c r="D168" s="1" t="s">
        <v>378</v>
      </c>
      <c r="E168" s="1" t="s">
        <v>21</v>
      </c>
      <c r="F168" s="1" t="s">
        <v>379</v>
      </c>
      <c r="G168" s="1" t="s">
        <v>67</v>
      </c>
      <c r="H168" s="1" t="s">
        <v>53</v>
      </c>
      <c r="I168" s="1" t="s">
        <v>380</v>
      </c>
      <c r="J168">
        <v>114</v>
      </c>
      <c r="K168" s="9">
        <v>1.0726706111E-4</v>
      </c>
      <c r="L168" s="9">
        <v>0.38551123105000001</v>
      </c>
      <c r="M168">
        <v>409709</v>
      </c>
      <c r="N168">
        <v>480584</v>
      </c>
      <c r="O168" s="9">
        <v>0.45220029207000001</v>
      </c>
      <c r="P168" s="11">
        <f>Telengana_Reaults_2019[[#This Row],[BJP Votes]]-Telengana_Reaults_2019[[#This Row],[Max Votes Other than BJP]]</f>
        <v>70875</v>
      </c>
      <c r="Q168" s="9">
        <f>Telengana_Reaults_2019[[#This Row],[BJP Vote Share]]-Telengana_Reaults_2019[[#This Row],[Max Votes Share other than BJP]]</f>
        <v>6.6689061019999996E-2</v>
      </c>
      <c r="R168">
        <v>1062768</v>
      </c>
      <c r="S168">
        <v>1553385</v>
      </c>
      <c r="T168" s="10">
        <v>0.68416265123999997</v>
      </c>
      <c r="U168" s="1" t="s">
        <v>26</v>
      </c>
    </row>
    <row r="169" spans="1:21" x14ac:dyDescent="0.35">
      <c r="A169" s="1" t="s">
        <v>18</v>
      </c>
      <c r="B169" s="1" t="s">
        <v>19</v>
      </c>
      <c r="C169" s="1" t="s">
        <v>140</v>
      </c>
      <c r="D169" s="1" t="s">
        <v>381</v>
      </c>
      <c r="E169" s="1" t="s">
        <v>21</v>
      </c>
      <c r="F169" s="1" t="s">
        <v>59</v>
      </c>
      <c r="G169" s="1" t="s">
        <v>67</v>
      </c>
      <c r="H169" s="1" t="s">
        <v>53</v>
      </c>
      <c r="I169" s="1" t="s">
        <v>382</v>
      </c>
      <c r="J169">
        <v>165</v>
      </c>
      <c r="K169" s="9">
        <v>1.5525495687E-4</v>
      </c>
      <c r="L169" s="9">
        <v>0.38551123105000001</v>
      </c>
      <c r="M169">
        <v>409709</v>
      </c>
      <c r="N169">
        <v>480584</v>
      </c>
      <c r="O169" s="9">
        <v>0.45220029207000001</v>
      </c>
      <c r="P169" s="11">
        <f>Telengana_Reaults_2019[[#This Row],[BJP Votes]]-Telengana_Reaults_2019[[#This Row],[Max Votes Other than BJP]]</f>
        <v>70875</v>
      </c>
      <c r="Q169" s="9">
        <f>Telengana_Reaults_2019[[#This Row],[BJP Vote Share]]-Telengana_Reaults_2019[[#This Row],[Max Votes Share other than BJP]]</f>
        <v>6.6689061019999996E-2</v>
      </c>
      <c r="R169">
        <v>1062768</v>
      </c>
      <c r="S169">
        <v>1553385</v>
      </c>
      <c r="T169" s="10">
        <v>0.68416265123999997</v>
      </c>
      <c r="U169" s="1" t="s">
        <v>26</v>
      </c>
    </row>
    <row r="170" spans="1:21" x14ac:dyDescent="0.35">
      <c r="A170" s="1" t="s">
        <v>18</v>
      </c>
      <c r="B170" s="1" t="s">
        <v>19</v>
      </c>
      <c r="C170" s="1" t="s">
        <v>140</v>
      </c>
      <c r="D170" s="1" t="s">
        <v>383</v>
      </c>
      <c r="E170" s="1" t="s">
        <v>21</v>
      </c>
      <c r="F170" s="1" t="s">
        <v>95</v>
      </c>
      <c r="G170" s="1" t="s">
        <v>112</v>
      </c>
      <c r="H170" s="1" t="s">
        <v>53</v>
      </c>
      <c r="I170" s="1" t="s">
        <v>384</v>
      </c>
      <c r="J170">
        <v>135</v>
      </c>
      <c r="K170" s="9">
        <v>1.2702678289000001E-4</v>
      </c>
      <c r="L170" s="9">
        <v>0.38551123105000001</v>
      </c>
      <c r="M170">
        <v>409709</v>
      </c>
      <c r="N170">
        <v>480584</v>
      </c>
      <c r="O170" s="9">
        <v>0.45220029207000001</v>
      </c>
      <c r="P170" s="11">
        <f>Telengana_Reaults_2019[[#This Row],[BJP Votes]]-Telengana_Reaults_2019[[#This Row],[Max Votes Other than BJP]]</f>
        <v>70875</v>
      </c>
      <c r="Q170" s="9">
        <f>Telengana_Reaults_2019[[#This Row],[BJP Vote Share]]-Telengana_Reaults_2019[[#This Row],[Max Votes Share other than BJP]]</f>
        <v>6.6689061019999996E-2</v>
      </c>
      <c r="R170">
        <v>1062768</v>
      </c>
      <c r="S170">
        <v>1553385</v>
      </c>
      <c r="T170" s="10">
        <v>0.68416265123999997</v>
      </c>
      <c r="U170" s="1" t="s">
        <v>26</v>
      </c>
    </row>
    <row r="171" spans="1:21" x14ac:dyDescent="0.35">
      <c r="A171" s="1" t="s">
        <v>18</v>
      </c>
      <c r="B171" s="1" t="s">
        <v>19</v>
      </c>
      <c r="C171" s="1" t="s">
        <v>140</v>
      </c>
      <c r="D171" s="1" t="s">
        <v>385</v>
      </c>
      <c r="E171" s="1" t="s">
        <v>21</v>
      </c>
      <c r="F171" s="1" t="s">
        <v>155</v>
      </c>
      <c r="G171" s="1" t="s">
        <v>67</v>
      </c>
      <c r="H171" s="1" t="s">
        <v>53</v>
      </c>
      <c r="I171" s="1" t="s">
        <v>386</v>
      </c>
      <c r="J171">
        <v>106</v>
      </c>
      <c r="K171" s="9">
        <v>9.9739548047999996E-5</v>
      </c>
      <c r="L171" s="9">
        <v>0.38551123105000001</v>
      </c>
      <c r="M171">
        <v>409709</v>
      </c>
      <c r="N171">
        <v>480584</v>
      </c>
      <c r="O171" s="9">
        <v>0.45220029207000001</v>
      </c>
      <c r="P171" s="11">
        <f>Telengana_Reaults_2019[[#This Row],[BJP Votes]]-Telengana_Reaults_2019[[#This Row],[Max Votes Other than BJP]]</f>
        <v>70875</v>
      </c>
      <c r="Q171" s="9">
        <f>Telengana_Reaults_2019[[#This Row],[BJP Vote Share]]-Telengana_Reaults_2019[[#This Row],[Max Votes Share other than BJP]]</f>
        <v>6.6689061019999996E-2</v>
      </c>
      <c r="R171">
        <v>1062768</v>
      </c>
      <c r="S171">
        <v>1553385</v>
      </c>
      <c r="T171" s="10">
        <v>0.68416265123999997</v>
      </c>
      <c r="U171" s="1" t="s">
        <v>26</v>
      </c>
    </row>
    <row r="172" spans="1:21" x14ac:dyDescent="0.35">
      <c r="A172" s="1" t="s">
        <v>18</v>
      </c>
      <c r="B172" s="1" t="s">
        <v>19</v>
      </c>
      <c r="C172" s="1" t="s">
        <v>140</v>
      </c>
      <c r="D172" s="1" t="s">
        <v>387</v>
      </c>
      <c r="E172" s="1" t="s">
        <v>21</v>
      </c>
      <c r="F172" s="1" t="s">
        <v>80</v>
      </c>
      <c r="G172" s="1" t="s">
        <v>112</v>
      </c>
      <c r="H172" s="1" t="s">
        <v>53</v>
      </c>
      <c r="I172" s="1" t="s">
        <v>388</v>
      </c>
      <c r="J172">
        <v>123</v>
      </c>
      <c r="K172" s="9">
        <v>1.157355133E-4</v>
      </c>
      <c r="L172" s="9">
        <v>0.38551123105000001</v>
      </c>
      <c r="M172">
        <v>409709</v>
      </c>
      <c r="N172">
        <v>480584</v>
      </c>
      <c r="O172" s="9">
        <v>0.45220029207000001</v>
      </c>
      <c r="P172" s="11">
        <f>Telengana_Reaults_2019[[#This Row],[BJP Votes]]-Telengana_Reaults_2019[[#This Row],[Max Votes Other than BJP]]</f>
        <v>70875</v>
      </c>
      <c r="Q172" s="9">
        <f>Telengana_Reaults_2019[[#This Row],[BJP Vote Share]]-Telengana_Reaults_2019[[#This Row],[Max Votes Share other than BJP]]</f>
        <v>6.6689061019999996E-2</v>
      </c>
      <c r="R172">
        <v>1062768</v>
      </c>
      <c r="S172">
        <v>1553385</v>
      </c>
      <c r="T172" s="10">
        <v>0.68416265123999997</v>
      </c>
      <c r="U172" s="1" t="s">
        <v>26</v>
      </c>
    </row>
    <row r="173" spans="1:21" x14ac:dyDescent="0.35">
      <c r="A173" s="1" t="s">
        <v>18</v>
      </c>
      <c r="B173" s="1" t="s">
        <v>19</v>
      </c>
      <c r="C173" s="1" t="s">
        <v>140</v>
      </c>
      <c r="D173" s="1" t="s">
        <v>389</v>
      </c>
      <c r="E173" s="1" t="s">
        <v>21</v>
      </c>
      <c r="F173" s="1" t="s">
        <v>75</v>
      </c>
      <c r="G173" s="1" t="s">
        <v>112</v>
      </c>
      <c r="H173" s="1" t="s">
        <v>53</v>
      </c>
      <c r="I173" s="1" t="s">
        <v>390</v>
      </c>
      <c r="J173">
        <v>138</v>
      </c>
      <c r="K173" s="9">
        <v>1.2984960029E-4</v>
      </c>
      <c r="L173" s="9">
        <v>0.38551123105000001</v>
      </c>
      <c r="M173">
        <v>409709</v>
      </c>
      <c r="N173">
        <v>480584</v>
      </c>
      <c r="O173" s="9">
        <v>0.45220029207000001</v>
      </c>
      <c r="P173" s="11">
        <f>Telengana_Reaults_2019[[#This Row],[BJP Votes]]-Telengana_Reaults_2019[[#This Row],[Max Votes Other than BJP]]</f>
        <v>70875</v>
      </c>
      <c r="Q173" s="9">
        <f>Telengana_Reaults_2019[[#This Row],[BJP Vote Share]]-Telengana_Reaults_2019[[#This Row],[Max Votes Share other than BJP]]</f>
        <v>6.6689061019999996E-2</v>
      </c>
      <c r="R173">
        <v>1062768</v>
      </c>
      <c r="S173">
        <v>1553385</v>
      </c>
      <c r="T173" s="10">
        <v>0.68416265123999997</v>
      </c>
      <c r="U173" s="1" t="s">
        <v>26</v>
      </c>
    </row>
    <row r="174" spans="1:21" x14ac:dyDescent="0.35">
      <c r="A174" s="1" t="s">
        <v>18</v>
      </c>
      <c r="B174" s="1" t="s">
        <v>19</v>
      </c>
      <c r="C174" s="1" t="s">
        <v>140</v>
      </c>
      <c r="D174" s="1" t="s">
        <v>391</v>
      </c>
      <c r="E174" s="1" t="s">
        <v>21</v>
      </c>
      <c r="F174" s="1" t="s">
        <v>66</v>
      </c>
      <c r="G174" s="1" t="s">
        <v>67</v>
      </c>
      <c r="H174" s="1" t="s">
        <v>53</v>
      </c>
      <c r="I174" s="1" t="s">
        <v>392</v>
      </c>
      <c r="J174">
        <v>279</v>
      </c>
      <c r="K174" s="9">
        <v>2.6252201797999998E-4</v>
      </c>
      <c r="L174" s="9">
        <v>0.38551123105000001</v>
      </c>
      <c r="M174">
        <v>409709</v>
      </c>
      <c r="N174">
        <v>480584</v>
      </c>
      <c r="O174" s="9">
        <v>0.45220029207000001</v>
      </c>
      <c r="P174" s="11">
        <f>Telengana_Reaults_2019[[#This Row],[BJP Votes]]-Telengana_Reaults_2019[[#This Row],[Max Votes Other than BJP]]</f>
        <v>70875</v>
      </c>
      <c r="Q174" s="9">
        <f>Telengana_Reaults_2019[[#This Row],[BJP Vote Share]]-Telengana_Reaults_2019[[#This Row],[Max Votes Share other than BJP]]</f>
        <v>6.6689061019999996E-2</v>
      </c>
      <c r="R174">
        <v>1062768</v>
      </c>
      <c r="S174">
        <v>1553385</v>
      </c>
      <c r="T174" s="10">
        <v>0.68416265123999997</v>
      </c>
      <c r="U174" s="1" t="s">
        <v>26</v>
      </c>
    </row>
    <row r="175" spans="1:21" x14ac:dyDescent="0.35">
      <c r="A175" s="1" t="s">
        <v>18</v>
      </c>
      <c r="B175" s="1" t="s">
        <v>19</v>
      </c>
      <c r="C175" s="1" t="s">
        <v>140</v>
      </c>
      <c r="D175" s="1" t="s">
        <v>393</v>
      </c>
      <c r="E175" s="1" t="s">
        <v>21</v>
      </c>
      <c r="F175" s="1" t="s">
        <v>234</v>
      </c>
      <c r="G175" s="1" t="s">
        <v>67</v>
      </c>
      <c r="H175" s="1" t="s">
        <v>53</v>
      </c>
      <c r="I175" s="1" t="s">
        <v>394</v>
      </c>
      <c r="J175">
        <v>441</v>
      </c>
      <c r="K175" s="9">
        <v>4.1495415745000002E-4</v>
      </c>
      <c r="L175" s="9">
        <v>0.38551123105000001</v>
      </c>
      <c r="M175">
        <v>409709</v>
      </c>
      <c r="N175">
        <v>480584</v>
      </c>
      <c r="O175" s="9">
        <v>0.45220029207000001</v>
      </c>
      <c r="P175" s="11">
        <f>Telengana_Reaults_2019[[#This Row],[BJP Votes]]-Telengana_Reaults_2019[[#This Row],[Max Votes Other than BJP]]</f>
        <v>70875</v>
      </c>
      <c r="Q175" s="9">
        <f>Telengana_Reaults_2019[[#This Row],[BJP Vote Share]]-Telengana_Reaults_2019[[#This Row],[Max Votes Share other than BJP]]</f>
        <v>6.6689061019999996E-2</v>
      </c>
      <c r="R175">
        <v>1062768</v>
      </c>
      <c r="S175">
        <v>1553385</v>
      </c>
      <c r="T175" s="10">
        <v>0.68416265123999997</v>
      </c>
      <c r="U175" s="1" t="s">
        <v>26</v>
      </c>
    </row>
    <row r="176" spans="1:21" x14ac:dyDescent="0.35">
      <c r="A176" s="1" t="s">
        <v>18</v>
      </c>
      <c r="B176" s="1" t="s">
        <v>19</v>
      </c>
      <c r="C176" s="1" t="s">
        <v>140</v>
      </c>
      <c r="D176" s="1" t="s">
        <v>395</v>
      </c>
      <c r="E176" s="1" t="s">
        <v>21</v>
      </c>
      <c r="F176" s="1" t="s">
        <v>56</v>
      </c>
      <c r="G176" s="1" t="s">
        <v>112</v>
      </c>
      <c r="H176" s="1" t="s">
        <v>53</v>
      </c>
      <c r="I176" s="1" t="s">
        <v>396</v>
      </c>
      <c r="J176">
        <v>778</v>
      </c>
      <c r="K176" s="9">
        <v>7.3205064510999996E-4</v>
      </c>
      <c r="L176" s="9">
        <v>0.38551123105000001</v>
      </c>
      <c r="M176">
        <v>409709</v>
      </c>
      <c r="N176">
        <v>480584</v>
      </c>
      <c r="O176" s="9">
        <v>0.45220029207000001</v>
      </c>
      <c r="P176" s="11">
        <f>Telengana_Reaults_2019[[#This Row],[BJP Votes]]-Telengana_Reaults_2019[[#This Row],[Max Votes Other than BJP]]</f>
        <v>70875</v>
      </c>
      <c r="Q176" s="9">
        <f>Telengana_Reaults_2019[[#This Row],[BJP Vote Share]]-Telengana_Reaults_2019[[#This Row],[Max Votes Share other than BJP]]</f>
        <v>6.6689061019999996E-2</v>
      </c>
      <c r="R176">
        <v>1062768</v>
      </c>
      <c r="S176">
        <v>1553385</v>
      </c>
      <c r="T176" s="10">
        <v>0.68416265123999997</v>
      </c>
      <c r="U176" s="1" t="s">
        <v>26</v>
      </c>
    </row>
    <row r="177" spans="1:21" x14ac:dyDescent="0.35">
      <c r="A177" s="1" t="s">
        <v>18</v>
      </c>
      <c r="B177" s="1" t="s">
        <v>19</v>
      </c>
      <c r="C177" s="1" t="s">
        <v>140</v>
      </c>
      <c r="D177" s="1" t="s">
        <v>397</v>
      </c>
      <c r="E177" s="1" t="s">
        <v>21</v>
      </c>
      <c r="F177" s="1" t="s">
        <v>22</v>
      </c>
      <c r="G177" s="1" t="s">
        <v>112</v>
      </c>
      <c r="H177" s="1" t="s">
        <v>53</v>
      </c>
      <c r="I177" s="1" t="s">
        <v>398</v>
      </c>
      <c r="J177">
        <v>314</v>
      </c>
      <c r="K177" s="9">
        <v>2.9545488760999999E-4</v>
      </c>
      <c r="L177" s="9">
        <v>0.38551123105000001</v>
      </c>
      <c r="M177">
        <v>409709</v>
      </c>
      <c r="N177">
        <v>480584</v>
      </c>
      <c r="O177" s="9">
        <v>0.45220029207000001</v>
      </c>
      <c r="P177" s="11">
        <f>Telengana_Reaults_2019[[#This Row],[BJP Votes]]-Telengana_Reaults_2019[[#This Row],[Max Votes Other than BJP]]</f>
        <v>70875</v>
      </c>
      <c r="Q177" s="9">
        <f>Telengana_Reaults_2019[[#This Row],[BJP Vote Share]]-Telengana_Reaults_2019[[#This Row],[Max Votes Share other than BJP]]</f>
        <v>6.6689061019999996E-2</v>
      </c>
      <c r="R177">
        <v>1062768</v>
      </c>
      <c r="S177">
        <v>1553385</v>
      </c>
      <c r="T177" s="10">
        <v>0.68416265123999997</v>
      </c>
      <c r="U177" s="1" t="s">
        <v>26</v>
      </c>
    </row>
    <row r="178" spans="1:21" x14ac:dyDescent="0.35">
      <c r="A178" s="1" t="s">
        <v>18</v>
      </c>
      <c r="B178" s="1" t="s">
        <v>19</v>
      </c>
      <c r="C178" s="1" t="s">
        <v>140</v>
      </c>
      <c r="D178" s="1" t="s">
        <v>399</v>
      </c>
      <c r="E178" s="1" t="s">
        <v>21</v>
      </c>
      <c r="F178" s="1" t="s">
        <v>165</v>
      </c>
      <c r="G178" s="1" t="s">
        <v>112</v>
      </c>
      <c r="H178" s="1" t="s">
        <v>53</v>
      </c>
      <c r="I178" s="1" t="s">
        <v>400</v>
      </c>
      <c r="J178">
        <v>149</v>
      </c>
      <c r="K178" s="9">
        <v>1.4019993075E-4</v>
      </c>
      <c r="L178" s="9">
        <v>0.38551123105000001</v>
      </c>
      <c r="M178">
        <v>409709</v>
      </c>
      <c r="N178">
        <v>480584</v>
      </c>
      <c r="O178" s="9">
        <v>0.45220029207000001</v>
      </c>
      <c r="P178" s="11">
        <f>Telengana_Reaults_2019[[#This Row],[BJP Votes]]-Telengana_Reaults_2019[[#This Row],[Max Votes Other than BJP]]</f>
        <v>70875</v>
      </c>
      <c r="Q178" s="9">
        <f>Telengana_Reaults_2019[[#This Row],[BJP Vote Share]]-Telengana_Reaults_2019[[#This Row],[Max Votes Share other than BJP]]</f>
        <v>6.6689061019999996E-2</v>
      </c>
      <c r="R178">
        <v>1062768</v>
      </c>
      <c r="S178">
        <v>1553385</v>
      </c>
      <c r="T178" s="10">
        <v>0.68416265123999997</v>
      </c>
      <c r="U178" s="1" t="s">
        <v>26</v>
      </c>
    </row>
    <row r="179" spans="1:21" x14ac:dyDescent="0.35">
      <c r="A179" s="1" t="s">
        <v>18</v>
      </c>
      <c r="B179" s="1" t="s">
        <v>19</v>
      </c>
      <c r="C179" s="1" t="s">
        <v>140</v>
      </c>
      <c r="D179" s="1" t="s">
        <v>401</v>
      </c>
      <c r="E179" s="1" t="s">
        <v>21</v>
      </c>
      <c r="F179" s="1" t="s">
        <v>176</v>
      </c>
      <c r="G179" s="1" t="s">
        <v>112</v>
      </c>
      <c r="H179" s="1" t="s">
        <v>53</v>
      </c>
      <c r="I179" s="1" t="s">
        <v>402</v>
      </c>
      <c r="J179">
        <v>146</v>
      </c>
      <c r="K179" s="9">
        <v>1.3737711335000001E-4</v>
      </c>
      <c r="L179" s="9">
        <v>0.38551123105000001</v>
      </c>
      <c r="M179">
        <v>409709</v>
      </c>
      <c r="N179">
        <v>480584</v>
      </c>
      <c r="O179" s="9">
        <v>0.45220029207000001</v>
      </c>
      <c r="P179" s="11">
        <f>Telengana_Reaults_2019[[#This Row],[BJP Votes]]-Telengana_Reaults_2019[[#This Row],[Max Votes Other than BJP]]</f>
        <v>70875</v>
      </c>
      <c r="Q179" s="9">
        <f>Telengana_Reaults_2019[[#This Row],[BJP Vote Share]]-Telengana_Reaults_2019[[#This Row],[Max Votes Share other than BJP]]</f>
        <v>6.6689061019999996E-2</v>
      </c>
      <c r="R179">
        <v>1062768</v>
      </c>
      <c r="S179">
        <v>1553385</v>
      </c>
      <c r="T179" s="10">
        <v>0.68416265123999997</v>
      </c>
      <c r="U179" s="1" t="s">
        <v>26</v>
      </c>
    </row>
    <row r="180" spans="1:21" x14ac:dyDescent="0.35">
      <c r="A180" s="1" t="s">
        <v>18</v>
      </c>
      <c r="B180" s="1" t="s">
        <v>19</v>
      </c>
      <c r="C180" s="1" t="s">
        <v>140</v>
      </c>
      <c r="D180" s="1" t="s">
        <v>403</v>
      </c>
      <c r="E180" s="1" t="s">
        <v>21</v>
      </c>
      <c r="F180" s="1" t="s">
        <v>75</v>
      </c>
      <c r="G180" s="1" t="s">
        <v>112</v>
      </c>
      <c r="H180" s="1" t="s">
        <v>53</v>
      </c>
      <c r="I180" s="1" t="s">
        <v>404</v>
      </c>
      <c r="J180">
        <v>166</v>
      </c>
      <c r="K180" s="9">
        <v>1.56195896E-4</v>
      </c>
      <c r="L180" s="9">
        <v>0.38551123105000001</v>
      </c>
      <c r="M180">
        <v>409709</v>
      </c>
      <c r="N180">
        <v>480584</v>
      </c>
      <c r="O180" s="9">
        <v>0.45220029207000001</v>
      </c>
      <c r="P180" s="11">
        <f>Telengana_Reaults_2019[[#This Row],[BJP Votes]]-Telengana_Reaults_2019[[#This Row],[Max Votes Other than BJP]]</f>
        <v>70875</v>
      </c>
      <c r="Q180" s="9">
        <f>Telengana_Reaults_2019[[#This Row],[BJP Vote Share]]-Telengana_Reaults_2019[[#This Row],[Max Votes Share other than BJP]]</f>
        <v>6.6689061019999996E-2</v>
      </c>
      <c r="R180">
        <v>1062768</v>
      </c>
      <c r="S180">
        <v>1553385</v>
      </c>
      <c r="T180" s="10">
        <v>0.68416265123999997</v>
      </c>
      <c r="U180" s="1" t="s">
        <v>26</v>
      </c>
    </row>
    <row r="181" spans="1:21" x14ac:dyDescent="0.35">
      <c r="A181" s="1" t="s">
        <v>18</v>
      </c>
      <c r="B181" s="1" t="s">
        <v>19</v>
      </c>
      <c r="C181" s="1" t="s">
        <v>140</v>
      </c>
      <c r="D181" s="1" t="s">
        <v>405</v>
      </c>
      <c r="E181" s="1" t="s">
        <v>21</v>
      </c>
      <c r="F181" s="1" t="s">
        <v>71</v>
      </c>
      <c r="G181" s="1" t="s">
        <v>112</v>
      </c>
      <c r="H181" s="1" t="s">
        <v>53</v>
      </c>
      <c r="I181" s="1" t="s">
        <v>406</v>
      </c>
      <c r="J181">
        <v>497</v>
      </c>
      <c r="K181" s="9">
        <v>4.6764674886999998E-4</v>
      </c>
      <c r="L181" s="9">
        <v>0.38551123105000001</v>
      </c>
      <c r="M181">
        <v>409709</v>
      </c>
      <c r="N181">
        <v>480584</v>
      </c>
      <c r="O181" s="9">
        <v>0.45220029207000001</v>
      </c>
      <c r="P181" s="11">
        <f>Telengana_Reaults_2019[[#This Row],[BJP Votes]]-Telengana_Reaults_2019[[#This Row],[Max Votes Other than BJP]]</f>
        <v>70875</v>
      </c>
      <c r="Q181" s="9">
        <f>Telengana_Reaults_2019[[#This Row],[BJP Vote Share]]-Telengana_Reaults_2019[[#This Row],[Max Votes Share other than BJP]]</f>
        <v>6.6689061019999996E-2</v>
      </c>
      <c r="R181">
        <v>1062768</v>
      </c>
      <c r="S181">
        <v>1553385</v>
      </c>
      <c r="T181" s="10">
        <v>0.68416265123999997</v>
      </c>
      <c r="U181" s="1" t="s">
        <v>26</v>
      </c>
    </row>
    <row r="182" spans="1:21" x14ac:dyDescent="0.35">
      <c r="A182" s="1" t="s">
        <v>18</v>
      </c>
      <c r="B182" s="1" t="s">
        <v>19</v>
      </c>
      <c r="C182" s="1" t="s">
        <v>140</v>
      </c>
      <c r="D182" s="1" t="s">
        <v>407</v>
      </c>
      <c r="E182" s="1" t="s">
        <v>21</v>
      </c>
      <c r="F182" s="1" t="s">
        <v>165</v>
      </c>
      <c r="G182" s="1" t="s">
        <v>112</v>
      </c>
      <c r="H182" s="1" t="s">
        <v>53</v>
      </c>
      <c r="I182" s="1" t="s">
        <v>408</v>
      </c>
      <c r="J182">
        <v>110</v>
      </c>
      <c r="K182" s="9">
        <v>1.0350330458E-4</v>
      </c>
      <c r="L182" s="9">
        <v>0.38551123105000001</v>
      </c>
      <c r="M182">
        <v>409709</v>
      </c>
      <c r="N182">
        <v>480584</v>
      </c>
      <c r="O182" s="9">
        <v>0.45220029207000001</v>
      </c>
      <c r="P182" s="11">
        <f>Telengana_Reaults_2019[[#This Row],[BJP Votes]]-Telengana_Reaults_2019[[#This Row],[Max Votes Other than BJP]]</f>
        <v>70875</v>
      </c>
      <c r="Q182" s="9">
        <f>Telengana_Reaults_2019[[#This Row],[BJP Vote Share]]-Telengana_Reaults_2019[[#This Row],[Max Votes Share other than BJP]]</f>
        <v>6.6689061019999996E-2</v>
      </c>
      <c r="R182">
        <v>1062768</v>
      </c>
      <c r="S182">
        <v>1553385</v>
      </c>
      <c r="T182" s="10">
        <v>0.68416265123999997</v>
      </c>
      <c r="U182" s="1" t="s">
        <v>26</v>
      </c>
    </row>
    <row r="183" spans="1:21" x14ac:dyDescent="0.35">
      <c r="A183" s="1" t="s">
        <v>18</v>
      </c>
      <c r="B183" s="1" t="s">
        <v>19</v>
      </c>
      <c r="C183" s="1" t="s">
        <v>140</v>
      </c>
      <c r="D183" s="1" t="s">
        <v>409</v>
      </c>
      <c r="E183" s="1" t="s">
        <v>21</v>
      </c>
      <c r="F183" s="1" t="s">
        <v>165</v>
      </c>
      <c r="G183" s="1" t="s">
        <v>112</v>
      </c>
      <c r="H183" s="1" t="s">
        <v>53</v>
      </c>
      <c r="I183" s="1" t="s">
        <v>410</v>
      </c>
      <c r="J183">
        <v>149</v>
      </c>
      <c r="K183" s="9">
        <v>1.4019993075E-4</v>
      </c>
      <c r="L183" s="9">
        <v>0.38551123105000001</v>
      </c>
      <c r="M183">
        <v>409709</v>
      </c>
      <c r="N183">
        <v>480584</v>
      </c>
      <c r="O183" s="9">
        <v>0.45220029207000001</v>
      </c>
      <c r="P183" s="11">
        <f>Telengana_Reaults_2019[[#This Row],[BJP Votes]]-Telengana_Reaults_2019[[#This Row],[Max Votes Other than BJP]]</f>
        <v>70875</v>
      </c>
      <c r="Q183" s="9">
        <f>Telengana_Reaults_2019[[#This Row],[BJP Vote Share]]-Telengana_Reaults_2019[[#This Row],[Max Votes Share other than BJP]]</f>
        <v>6.6689061019999996E-2</v>
      </c>
      <c r="R183">
        <v>1062768</v>
      </c>
      <c r="S183">
        <v>1553385</v>
      </c>
      <c r="T183" s="10">
        <v>0.68416265123999997</v>
      </c>
      <c r="U183" s="1" t="s">
        <v>26</v>
      </c>
    </row>
    <row r="184" spans="1:21" x14ac:dyDescent="0.35">
      <c r="A184" s="1" t="s">
        <v>18</v>
      </c>
      <c r="B184" s="1" t="s">
        <v>19</v>
      </c>
      <c r="C184" s="1" t="s">
        <v>140</v>
      </c>
      <c r="D184" s="1" t="s">
        <v>411</v>
      </c>
      <c r="E184" s="1" t="s">
        <v>21</v>
      </c>
      <c r="F184" s="1" t="s">
        <v>234</v>
      </c>
      <c r="G184" s="1" t="s">
        <v>112</v>
      </c>
      <c r="H184" s="1" t="s">
        <v>53</v>
      </c>
      <c r="I184" s="1" t="s">
        <v>102</v>
      </c>
      <c r="J184">
        <v>725</v>
      </c>
      <c r="K184" s="9">
        <v>6.8218087108000002E-4</v>
      </c>
      <c r="L184" s="9">
        <v>0.38551123105000001</v>
      </c>
      <c r="M184">
        <v>409709</v>
      </c>
      <c r="N184">
        <v>480584</v>
      </c>
      <c r="O184" s="9">
        <v>0.45220029207000001</v>
      </c>
      <c r="P184" s="11">
        <f>Telengana_Reaults_2019[[#This Row],[BJP Votes]]-Telengana_Reaults_2019[[#This Row],[Max Votes Other than BJP]]</f>
        <v>70875</v>
      </c>
      <c r="Q184" s="9">
        <f>Telengana_Reaults_2019[[#This Row],[BJP Vote Share]]-Telengana_Reaults_2019[[#This Row],[Max Votes Share other than BJP]]</f>
        <v>6.6689061019999996E-2</v>
      </c>
      <c r="R184">
        <v>1062768</v>
      </c>
      <c r="S184">
        <v>1553385</v>
      </c>
      <c r="T184" s="10">
        <v>0.68416265123999997</v>
      </c>
      <c r="U184" s="1" t="s">
        <v>26</v>
      </c>
    </row>
    <row r="185" spans="1:21" x14ac:dyDescent="0.35">
      <c r="A185" s="1" t="s">
        <v>18</v>
      </c>
      <c r="B185" s="1" t="s">
        <v>19</v>
      </c>
      <c r="C185" s="1" t="s">
        <v>140</v>
      </c>
      <c r="D185" s="1" t="s">
        <v>412</v>
      </c>
      <c r="E185" s="1" t="s">
        <v>21</v>
      </c>
      <c r="F185" s="1" t="s">
        <v>36</v>
      </c>
      <c r="G185" s="1" t="s">
        <v>112</v>
      </c>
      <c r="H185" s="1" t="s">
        <v>53</v>
      </c>
      <c r="I185" s="1" t="s">
        <v>413</v>
      </c>
      <c r="J185">
        <v>186</v>
      </c>
      <c r="K185" s="9">
        <v>1.7501467865E-4</v>
      </c>
      <c r="L185" s="9">
        <v>0.38551123105000001</v>
      </c>
      <c r="M185">
        <v>409709</v>
      </c>
      <c r="N185">
        <v>480584</v>
      </c>
      <c r="O185" s="9">
        <v>0.45220029207000001</v>
      </c>
      <c r="P185" s="11">
        <f>Telengana_Reaults_2019[[#This Row],[BJP Votes]]-Telengana_Reaults_2019[[#This Row],[Max Votes Other than BJP]]</f>
        <v>70875</v>
      </c>
      <c r="Q185" s="9">
        <f>Telengana_Reaults_2019[[#This Row],[BJP Vote Share]]-Telengana_Reaults_2019[[#This Row],[Max Votes Share other than BJP]]</f>
        <v>6.6689061019999996E-2</v>
      </c>
      <c r="R185">
        <v>1062768</v>
      </c>
      <c r="S185">
        <v>1553385</v>
      </c>
      <c r="T185" s="10">
        <v>0.68416265123999997</v>
      </c>
      <c r="U185" s="1" t="s">
        <v>26</v>
      </c>
    </row>
    <row r="186" spans="1:21" x14ac:dyDescent="0.35">
      <c r="A186" s="1" t="s">
        <v>18</v>
      </c>
      <c r="B186" s="1" t="s">
        <v>19</v>
      </c>
      <c r="C186" s="1" t="s">
        <v>140</v>
      </c>
      <c r="D186" s="1" t="s">
        <v>414</v>
      </c>
      <c r="E186" s="1" t="s">
        <v>21</v>
      </c>
      <c r="F186" s="1" t="s">
        <v>165</v>
      </c>
      <c r="G186" s="1" t="s">
        <v>112</v>
      </c>
      <c r="H186" s="1" t="s">
        <v>53</v>
      </c>
      <c r="I186" s="1" t="s">
        <v>415</v>
      </c>
      <c r="J186">
        <v>201</v>
      </c>
      <c r="K186" s="9">
        <v>1.8912876563999999E-4</v>
      </c>
      <c r="L186" s="9">
        <v>0.38551123105000001</v>
      </c>
      <c r="M186">
        <v>409709</v>
      </c>
      <c r="N186">
        <v>480584</v>
      </c>
      <c r="O186" s="9">
        <v>0.45220029207000001</v>
      </c>
      <c r="P186" s="11">
        <f>Telengana_Reaults_2019[[#This Row],[BJP Votes]]-Telengana_Reaults_2019[[#This Row],[Max Votes Other than BJP]]</f>
        <v>70875</v>
      </c>
      <c r="Q186" s="9">
        <f>Telengana_Reaults_2019[[#This Row],[BJP Vote Share]]-Telengana_Reaults_2019[[#This Row],[Max Votes Share other than BJP]]</f>
        <v>6.6689061019999996E-2</v>
      </c>
      <c r="R186">
        <v>1062768</v>
      </c>
      <c r="S186">
        <v>1553385</v>
      </c>
      <c r="T186" s="10">
        <v>0.68416265123999997</v>
      </c>
      <c r="U186" s="1" t="s">
        <v>26</v>
      </c>
    </row>
    <row r="187" spans="1:21" x14ac:dyDescent="0.35">
      <c r="A187" s="1" t="s">
        <v>18</v>
      </c>
      <c r="B187" s="1" t="s">
        <v>19</v>
      </c>
      <c r="C187" s="1" t="s">
        <v>140</v>
      </c>
      <c r="D187" s="1" t="s">
        <v>416</v>
      </c>
      <c r="E187" s="1" t="s">
        <v>21</v>
      </c>
      <c r="F187" s="1" t="s">
        <v>91</v>
      </c>
      <c r="G187" s="1" t="s">
        <v>112</v>
      </c>
      <c r="H187" s="1" t="s">
        <v>53</v>
      </c>
      <c r="I187" s="1" t="s">
        <v>417</v>
      </c>
      <c r="J187">
        <v>126</v>
      </c>
      <c r="K187" s="9">
        <v>1.185583307E-4</v>
      </c>
      <c r="L187" s="9">
        <v>0.38551123105000001</v>
      </c>
      <c r="M187">
        <v>409709</v>
      </c>
      <c r="N187">
        <v>480584</v>
      </c>
      <c r="O187" s="9">
        <v>0.45220029207000001</v>
      </c>
      <c r="P187" s="11">
        <f>Telengana_Reaults_2019[[#This Row],[BJP Votes]]-Telengana_Reaults_2019[[#This Row],[Max Votes Other than BJP]]</f>
        <v>70875</v>
      </c>
      <c r="Q187" s="9">
        <f>Telengana_Reaults_2019[[#This Row],[BJP Vote Share]]-Telengana_Reaults_2019[[#This Row],[Max Votes Share other than BJP]]</f>
        <v>6.6689061019999996E-2</v>
      </c>
      <c r="R187">
        <v>1062768</v>
      </c>
      <c r="S187">
        <v>1553385</v>
      </c>
      <c r="T187" s="10">
        <v>0.68416265123999997</v>
      </c>
      <c r="U187" s="1" t="s">
        <v>26</v>
      </c>
    </row>
    <row r="188" spans="1:21" x14ac:dyDescent="0.35">
      <c r="A188" s="1" t="s">
        <v>18</v>
      </c>
      <c r="B188" s="1" t="s">
        <v>19</v>
      </c>
      <c r="C188" s="1" t="s">
        <v>140</v>
      </c>
      <c r="D188" s="1" t="s">
        <v>418</v>
      </c>
      <c r="E188" s="1" t="s">
        <v>21</v>
      </c>
      <c r="F188" s="1" t="s">
        <v>99</v>
      </c>
      <c r="G188" s="1" t="s">
        <v>112</v>
      </c>
      <c r="H188" s="1" t="s">
        <v>53</v>
      </c>
      <c r="I188" s="1" t="s">
        <v>419</v>
      </c>
      <c r="J188">
        <v>109</v>
      </c>
      <c r="K188" s="9">
        <v>1.0256236545E-4</v>
      </c>
      <c r="L188" s="9">
        <v>0.38551123105000001</v>
      </c>
      <c r="M188">
        <v>409709</v>
      </c>
      <c r="N188">
        <v>480584</v>
      </c>
      <c r="O188" s="9">
        <v>0.45220029207000001</v>
      </c>
      <c r="P188" s="11">
        <f>Telengana_Reaults_2019[[#This Row],[BJP Votes]]-Telengana_Reaults_2019[[#This Row],[Max Votes Other than BJP]]</f>
        <v>70875</v>
      </c>
      <c r="Q188" s="9">
        <f>Telengana_Reaults_2019[[#This Row],[BJP Vote Share]]-Telengana_Reaults_2019[[#This Row],[Max Votes Share other than BJP]]</f>
        <v>6.6689061019999996E-2</v>
      </c>
      <c r="R188">
        <v>1062768</v>
      </c>
      <c r="S188">
        <v>1553385</v>
      </c>
      <c r="T188" s="10">
        <v>0.68416265123999997</v>
      </c>
      <c r="U188" s="1" t="s">
        <v>26</v>
      </c>
    </row>
    <row r="189" spans="1:21" x14ac:dyDescent="0.35">
      <c r="A189" s="1" t="s">
        <v>18</v>
      </c>
      <c r="B189" s="1" t="s">
        <v>19</v>
      </c>
      <c r="C189" s="1" t="s">
        <v>140</v>
      </c>
      <c r="D189" s="1" t="s">
        <v>420</v>
      </c>
      <c r="E189" s="1" t="s">
        <v>21</v>
      </c>
      <c r="F189" s="1" t="s">
        <v>176</v>
      </c>
      <c r="G189" s="1" t="s">
        <v>67</v>
      </c>
      <c r="H189" s="1" t="s">
        <v>53</v>
      </c>
      <c r="I189" s="1" t="s">
        <v>421</v>
      </c>
      <c r="J189">
        <v>159</v>
      </c>
      <c r="K189" s="9">
        <v>1.4960932206999999E-4</v>
      </c>
      <c r="L189" s="9">
        <v>0.38551123105000001</v>
      </c>
      <c r="M189">
        <v>409709</v>
      </c>
      <c r="N189">
        <v>480584</v>
      </c>
      <c r="O189" s="9">
        <v>0.45220029207000001</v>
      </c>
      <c r="P189" s="11">
        <f>Telengana_Reaults_2019[[#This Row],[BJP Votes]]-Telengana_Reaults_2019[[#This Row],[Max Votes Other than BJP]]</f>
        <v>70875</v>
      </c>
      <c r="Q189" s="9">
        <f>Telengana_Reaults_2019[[#This Row],[BJP Vote Share]]-Telengana_Reaults_2019[[#This Row],[Max Votes Share other than BJP]]</f>
        <v>6.6689061019999996E-2</v>
      </c>
      <c r="R189">
        <v>1062768</v>
      </c>
      <c r="S189">
        <v>1553385</v>
      </c>
      <c r="T189" s="10">
        <v>0.68416265123999997</v>
      </c>
      <c r="U189" s="1" t="s">
        <v>26</v>
      </c>
    </row>
    <row r="190" spans="1:21" x14ac:dyDescent="0.35">
      <c r="A190" s="1" t="s">
        <v>18</v>
      </c>
      <c r="B190" s="1" t="s">
        <v>19</v>
      </c>
      <c r="C190" s="1" t="s">
        <v>140</v>
      </c>
      <c r="D190" s="1" t="s">
        <v>422</v>
      </c>
      <c r="E190" s="1" t="s">
        <v>21</v>
      </c>
      <c r="F190" s="1" t="s">
        <v>115</v>
      </c>
      <c r="G190" s="1" t="s">
        <v>112</v>
      </c>
      <c r="H190" s="1" t="s">
        <v>53</v>
      </c>
      <c r="I190" s="1" t="s">
        <v>423</v>
      </c>
      <c r="J190">
        <v>242</v>
      </c>
      <c r="K190" s="9">
        <v>2.2770727007000001E-4</v>
      </c>
      <c r="L190" s="9">
        <v>0.38551123105000001</v>
      </c>
      <c r="M190">
        <v>409709</v>
      </c>
      <c r="N190">
        <v>480584</v>
      </c>
      <c r="O190" s="9">
        <v>0.45220029207000001</v>
      </c>
      <c r="P190" s="11">
        <f>Telengana_Reaults_2019[[#This Row],[BJP Votes]]-Telengana_Reaults_2019[[#This Row],[Max Votes Other than BJP]]</f>
        <v>70875</v>
      </c>
      <c r="Q190" s="9">
        <f>Telengana_Reaults_2019[[#This Row],[BJP Vote Share]]-Telengana_Reaults_2019[[#This Row],[Max Votes Share other than BJP]]</f>
        <v>6.6689061019999996E-2</v>
      </c>
      <c r="R190">
        <v>1062768</v>
      </c>
      <c r="S190">
        <v>1553385</v>
      </c>
      <c r="T190" s="10">
        <v>0.68416265123999997</v>
      </c>
      <c r="U190" s="1" t="s">
        <v>26</v>
      </c>
    </row>
    <row r="191" spans="1:21" x14ac:dyDescent="0.35">
      <c r="A191" s="1" t="s">
        <v>18</v>
      </c>
      <c r="B191" s="1" t="s">
        <v>19</v>
      </c>
      <c r="C191" s="1" t="s">
        <v>140</v>
      </c>
      <c r="D191" s="1" t="s">
        <v>424</v>
      </c>
      <c r="E191" s="1" t="s">
        <v>21</v>
      </c>
      <c r="F191" s="1" t="s">
        <v>95</v>
      </c>
      <c r="G191" s="1" t="s">
        <v>112</v>
      </c>
      <c r="H191" s="1" t="s">
        <v>53</v>
      </c>
      <c r="I191" s="1" t="s">
        <v>425</v>
      </c>
      <c r="J191">
        <v>553</v>
      </c>
      <c r="K191" s="9">
        <v>5.2033934029000004E-4</v>
      </c>
      <c r="L191" s="9">
        <v>0.38551123105000001</v>
      </c>
      <c r="M191">
        <v>409709</v>
      </c>
      <c r="N191">
        <v>480584</v>
      </c>
      <c r="O191" s="9">
        <v>0.45220029207000001</v>
      </c>
      <c r="P191" s="11">
        <f>Telengana_Reaults_2019[[#This Row],[BJP Votes]]-Telengana_Reaults_2019[[#This Row],[Max Votes Other than BJP]]</f>
        <v>70875</v>
      </c>
      <c r="Q191" s="9">
        <f>Telengana_Reaults_2019[[#This Row],[BJP Vote Share]]-Telengana_Reaults_2019[[#This Row],[Max Votes Share other than BJP]]</f>
        <v>6.6689061019999996E-2</v>
      </c>
      <c r="R191">
        <v>1062768</v>
      </c>
      <c r="S191">
        <v>1553385</v>
      </c>
      <c r="T191" s="10">
        <v>0.68416265123999997</v>
      </c>
      <c r="U191" s="1" t="s">
        <v>26</v>
      </c>
    </row>
    <row r="192" spans="1:21" x14ac:dyDescent="0.35">
      <c r="A192" s="1" t="s">
        <v>18</v>
      </c>
      <c r="B192" s="1" t="s">
        <v>19</v>
      </c>
      <c r="C192" s="1" t="s">
        <v>140</v>
      </c>
      <c r="D192" s="1" t="s">
        <v>426</v>
      </c>
      <c r="E192" s="1" t="s">
        <v>21</v>
      </c>
      <c r="F192" s="1" t="s">
        <v>36</v>
      </c>
      <c r="G192" s="1" t="s">
        <v>112</v>
      </c>
      <c r="H192" s="1" t="s">
        <v>53</v>
      </c>
      <c r="I192" s="1" t="s">
        <v>427</v>
      </c>
      <c r="J192">
        <v>852</v>
      </c>
      <c r="K192" s="9">
        <v>8.0168014091999999E-4</v>
      </c>
      <c r="L192" s="9">
        <v>0.38551123105000001</v>
      </c>
      <c r="M192">
        <v>409709</v>
      </c>
      <c r="N192">
        <v>480584</v>
      </c>
      <c r="O192" s="9">
        <v>0.45220029207000001</v>
      </c>
      <c r="P192" s="11">
        <f>Telengana_Reaults_2019[[#This Row],[BJP Votes]]-Telengana_Reaults_2019[[#This Row],[Max Votes Other than BJP]]</f>
        <v>70875</v>
      </c>
      <c r="Q192" s="9">
        <f>Telengana_Reaults_2019[[#This Row],[BJP Vote Share]]-Telengana_Reaults_2019[[#This Row],[Max Votes Share other than BJP]]</f>
        <v>6.6689061019999996E-2</v>
      </c>
      <c r="R192">
        <v>1062768</v>
      </c>
      <c r="S192">
        <v>1553385</v>
      </c>
      <c r="T192" s="10">
        <v>0.68416265123999997</v>
      </c>
      <c r="U192" s="1" t="s">
        <v>26</v>
      </c>
    </row>
    <row r="193" spans="1:21" x14ac:dyDescent="0.35">
      <c r="A193" s="1" t="s">
        <v>18</v>
      </c>
      <c r="B193" s="1" t="s">
        <v>19</v>
      </c>
      <c r="C193" s="1" t="s">
        <v>140</v>
      </c>
      <c r="D193" s="1" t="s">
        <v>428</v>
      </c>
      <c r="E193" s="1" t="s">
        <v>21</v>
      </c>
      <c r="F193" s="1" t="s">
        <v>205</v>
      </c>
      <c r="G193" s="1" t="s">
        <v>112</v>
      </c>
      <c r="H193" s="1" t="s">
        <v>53</v>
      </c>
      <c r="I193" s="1" t="s">
        <v>82</v>
      </c>
      <c r="J193">
        <v>703</v>
      </c>
      <c r="K193" s="9">
        <v>6.6148021016999999E-4</v>
      </c>
      <c r="L193" s="9">
        <v>0.38551123105000001</v>
      </c>
      <c r="M193">
        <v>409709</v>
      </c>
      <c r="N193">
        <v>480584</v>
      </c>
      <c r="O193" s="9">
        <v>0.45220029207000001</v>
      </c>
      <c r="P193" s="11">
        <f>Telengana_Reaults_2019[[#This Row],[BJP Votes]]-Telengana_Reaults_2019[[#This Row],[Max Votes Other than BJP]]</f>
        <v>70875</v>
      </c>
      <c r="Q193" s="9">
        <f>Telengana_Reaults_2019[[#This Row],[BJP Vote Share]]-Telengana_Reaults_2019[[#This Row],[Max Votes Share other than BJP]]</f>
        <v>6.6689061019999996E-2</v>
      </c>
      <c r="R193">
        <v>1062768</v>
      </c>
      <c r="S193">
        <v>1553385</v>
      </c>
      <c r="T193" s="10">
        <v>0.68416265123999997</v>
      </c>
      <c r="U193" s="1" t="s">
        <v>26</v>
      </c>
    </row>
    <row r="194" spans="1:21" x14ac:dyDescent="0.35">
      <c r="A194" s="1" t="s">
        <v>18</v>
      </c>
      <c r="B194" s="1" t="s">
        <v>19</v>
      </c>
      <c r="C194" s="1" t="s">
        <v>140</v>
      </c>
      <c r="D194" s="1" t="s">
        <v>429</v>
      </c>
      <c r="E194" s="1" t="s">
        <v>35</v>
      </c>
      <c r="F194" s="1" t="s">
        <v>205</v>
      </c>
      <c r="G194" s="1" t="s">
        <v>112</v>
      </c>
      <c r="H194" s="1" t="s">
        <v>53</v>
      </c>
      <c r="I194" s="1" t="s">
        <v>430</v>
      </c>
      <c r="J194">
        <v>426</v>
      </c>
      <c r="K194" s="9">
        <v>4.0084007045999999E-4</v>
      </c>
      <c r="L194" s="9">
        <v>0.38551123105000001</v>
      </c>
      <c r="M194">
        <v>409709</v>
      </c>
      <c r="N194">
        <v>480584</v>
      </c>
      <c r="O194" s="9">
        <v>0.45220029207000001</v>
      </c>
      <c r="P194" s="11">
        <f>Telengana_Reaults_2019[[#This Row],[BJP Votes]]-Telengana_Reaults_2019[[#This Row],[Max Votes Other than BJP]]</f>
        <v>70875</v>
      </c>
      <c r="Q194" s="9">
        <f>Telengana_Reaults_2019[[#This Row],[BJP Vote Share]]-Telengana_Reaults_2019[[#This Row],[Max Votes Share other than BJP]]</f>
        <v>6.6689061019999996E-2</v>
      </c>
      <c r="R194">
        <v>1062768</v>
      </c>
      <c r="S194">
        <v>1553385</v>
      </c>
      <c r="T194" s="10">
        <v>0.68416265123999997</v>
      </c>
      <c r="U194" s="1" t="s">
        <v>26</v>
      </c>
    </row>
    <row r="195" spans="1:21" x14ac:dyDescent="0.35">
      <c r="A195" s="1" t="s">
        <v>18</v>
      </c>
      <c r="B195" s="1" t="s">
        <v>19</v>
      </c>
      <c r="C195" s="1" t="s">
        <v>140</v>
      </c>
      <c r="D195" s="1" t="s">
        <v>431</v>
      </c>
      <c r="E195" s="1" t="s">
        <v>21</v>
      </c>
      <c r="F195" s="1" t="s">
        <v>120</v>
      </c>
      <c r="G195" s="1" t="s">
        <v>112</v>
      </c>
      <c r="H195" s="1" t="s">
        <v>53</v>
      </c>
      <c r="I195" s="1" t="s">
        <v>432</v>
      </c>
      <c r="J195">
        <v>718</v>
      </c>
      <c r="K195" s="9">
        <v>6.7559429716000001E-4</v>
      </c>
      <c r="L195" s="9">
        <v>0.38551123105000001</v>
      </c>
      <c r="M195">
        <v>409709</v>
      </c>
      <c r="N195">
        <v>480584</v>
      </c>
      <c r="O195" s="9">
        <v>0.45220029207000001</v>
      </c>
      <c r="P195" s="11">
        <f>Telengana_Reaults_2019[[#This Row],[BJP Votes]]-Telengana_Reaults_2019[[#This Row],[Max Votes Other than BJP]]</f>
        <v>70875</v>
      </c>
      <c r="Q195" s="9">
        <f>Telengana_Reaults_2019[[#This Row],[BJP Vote Share]]-Telengana_Reaults_2019[[#This Row],[Max Votes Share other than BJP]]</f>
        <v>6.6689061019999996E-2</v>
      </c>
      <c r="R195">
        <v>1062768</v>
      </c>
      <c r="S195">
        <v>1553385</v>
      </c>
      <c r="T195" s="10">
        <v>0.68416265123999997</v>
      </c>
      <c r="U195" s="1" t="s">
        <v>26</v>
      </c>
    </row>
    <row r="196" spans="1:21" x14ac:dyDescent="0.35">
      <c r="A196" s="1" t="s">
        <v>18</v>
      </c>
      <c r="B196" s="1" t="s">
        <v>19</v>
      </c>
      <c r="C196" s="1" t="s">
        <v>140</v>
      </c>
      <c r="D196" s="1" t="s">
        <v>433</v>
      </c>
      <c r="E196" s="1" t="s">
        <v>21</v>
      </c>
      <c r="F196" s="1" t="s">
        <v>205</v>
      </c>
      <c r="G196" s="1" t="s">
        <v>112</v>
      </c>
      <c r="H196" s="1" t="s">
        <v>53</v>
      </c>
      <c r="I196" s="1" t="s">
        <v>434</v>
      </c>
      <c r="J196">
        <v>192</v>
      </c>
      <c r="K196" s="9">
        <v>1.8066031345E-4</v>
      </c>
      <c r="L196" s="9">
        <v>0.38551123105000001</v>
      </c>
      <c r="M196">
        <v>409709</v>
      </c>
      <c r="N196">
        <v>480584</v>
      </c>
      <c r="O196" s="9">
        <v>0.45220029207000001</v>
      </c>
      <c r="P196" s="11">
        <f>Telengana_Reaults_2019[[#This Row],[BJP Votes]]-Telengana_Reaults_2019[[#This Row],[Max Votes Other than BJP]]</f>
        <v>70875</v>
      </c>
      <c r="Q196" s="9">
        <f>Telengana_Reaults_2019[[#This Row],[BJP Vote Share]]-Telengana_Reaults_2019[[#This Row],[Max Votes Share other than BJP]]</f>
        <v>6.6689061019999996E-2</v>
      </c>
      <c r="R196">
        <v>1062768</v>
      </c>
      <c r="S196">
        <v>1553385</v>
      </c>
      <c r="T196" s="10">
        <v>0.68416265123999997</v>
      </c>
      <c r="U196" s="1" t="s">
        <v>26</v>
      </c>
    </row>
    <row r="197" spans="1:21" x14ac:dyDescent="0.35">
      <c r="A197" s="1" t="s">
        <v>18</v>
      </c>
      <c r="B197" s="1" t="s">
        <v>19</v>
      </c>
      <c r="C197" s="1" t="s">
        <v>140</v>
      </c>
      <c r="D197" s="1" t="s">
        <v>435</v>
      </c>
      <c r="E197" s="1" t="s">
        <v>21</v>
      </c>
      <c r="F197" s="1" t="s">
        <v>125</v>
      </c>
      <c r="G197" s="1" t="s">
        <v>112</v>
      </c>
      <c r="H197" s="1" t="s">
        <v>53</v>
      </c>
      <c r="I197" s="1" t="s">
        <v>436</v>
      </c>
      <c r="J197">
        <v>123</v>
      </c>
      <c r="K197" s="9">
        <v>1.157355133E-4</v>
      </c>
      <c r="L197" s="9">
        <v>0.38551123105000001</v>
      </c>
      <c r="M197">
        <v>409709</v>
      </c>
      <c r="N197">
        <v>480584</v>
      </c>
      <c r="O197" s="9">
        <v>0.45220029207000001</v>
      </c>
      <c r="P197" s="11">
        <f>Telengana_Reaults_2019[[#This Row],[BJP Votes]]-Telengana_Reaults_2019[[#This Row],[Max Votes Other than BJP]]</f>
        <v>70875</v>
      </c>
      <c r="Q197" s="9">
        <f>Telengana_Reaults_2019[[#This Row],[BJP Vote Share]]-Telengana_Reaults_2019[[#This Row],[Max Votes Share other than BJP]]</f>
        <v>6.6689061019999996E-2</v>
      </c>
      <c r="R197">
        <v>1062768</v>
      </c>
      <c r="S197">
        <v>1553385</v>
      </c>
      <c r="T197" s="10">
        <v>0.68416265123999997</v>
      </c>
      <c r="U197" s="1" t="s">
        <v>26</v>
      </c>
    </row>
    <row r="198" spans="1:21" x14ac:dyDescent="0.35">
      <c r="A198" s="1" t="s">
        <v>18</v>
      </c>
      <c r="B198" s="1" t="s">
        <v>19</v>
      </c>
      <c r="C198" s="1" t="s">
        <v>140</v>
      </c>
      <c r="D198" s="1" t="s">
        <v>437</v>
      </c>
      <c r="E198" s="1" t="s">
        <v>21</v>
      </c>
      <c r="F198" s="1" t="s">
        <v>362</v>
      </c>
      <c r="G198" s="1" t="s">
        <v>112</v>
      </c>
      <c r="H198" s="1" t="s">
        <v>53</v>
      </c>
      <c r="I198" s="1" t="s">
        <v>438</v>
      </c>
      <c r="J198">
        <v>107</v>
      </c>
      <c r="K198" s="9">
        <v>1.0068048718E-4</v>
      </c>
      <c r="L198" s="9">
        <v>0.38551123105000001</v>
      </c>
      <c r="M198">
        <v>409709</v>
      </c>
      <c r="N198">
        <v>480584</v>
      </c>
      <c r="O198" s="9">
        <v>0.45220029207000001</v>
      </c>
      <c r="P198" s="11">
        <f>Telengana_Reaults_2019[[#This Row],[BJP Votes]]-Telengana_Reaults_2019[[#This Row],[Max Votes Other than BJP]]</f>
        <v>70875</v>
      </c>
      <c r="Q198" s="9">
        <f>Telengana_Reaults_2019[[#This Row],[BJP Vote Share]]-Telengana_Reaults_2019[[#This Row],[Max Votes Share other than BJP]]</f>
        <v>6.6689061019999996E-2</v>
      </c>
      <c r="R198">
        <v>1062768</v>
      </c>
      <c r="S198">
        <v>1553385</v>
      </c>
      <c r="T198" s="10">
        <v>0.68416265123999997</v>
      </c>
      <c r="U198" s="1" t="s">
        <v>26</v>
      </c>
    </row>
    <row r="199" spans="1:21" x14ac:dyDescent="0.35">
      <c r="A199" s="1" t="s">
        <v>18</v>
      </c>
      <c r="B199" s="1" t="s">
        <v>19</v>
      </c>
      <c r="C199" s="1" t="s">
        <v>140</v>
      </c>
      <c r="D199" s="1" t="s">
        <v>439</v>
      </c>
      <c r="E199" s="1" t="s">
        <v>21</v>
      </c>
      <c r="F199" s="1" t="s">
        <v>125</v>
      </c>
      <c r="G199" s="1" t="s">
        <v>112</v>
      </c>
      <c r="H199" s="1" t="s">
        <v>53</v>
      </c>
      <c r="I199" s="1" t="s">
        <v>440</v>
      </c>
      <c r="J199">
        <v>186</v>
      </c>
      <c r="K199" s="9">
        <v>1.7501467865E-4</v>
      </c>
      <c r="L199" s="9">
        <v>0.38551123105000001</v>
      </c>
      <c r="M199">
        <v>409709</v>
      </c>
      <c r="N199">
        <v>480584</v>
      </c>
      <c r="O199" s="9">
        <v>0.45220029207000001</v>
      </c>
      <c r="P199" s="11">
        <f>Telengana_Reaults_2019[[#This Row],[BJP Votes]]-Telengana_Reaults_2019[[#This Row],[Max Votes Other than BJP]]</f>
        <v>70875</v>
      </c>
      <c r="Q199" s="9">
        <f>Telengana_Reaults_2019[[#This Row],[BJP Vote Share]]-Telengana_Reaults_2019[[#This Row],[Max Votes Share other than BJP]]</f>
        <v>6.6689061019999996E-2</v>
      </c>
      <c r="R199">
        <v>1062768</v>
      </c>
      <c r="S199">
        <v>1553385</v>
      </c>
      <c r="T199" s="10">
        <v>0.68416265123999997</v>
      </c>
      <c r="U199" s="1" t="s">
        <v>26</v>
      </c>
    </row>
    <row r="200" spans="1:21" x14ac:dyDescent="0.35">
      <c r="A200" s="1" t="s">
        <v>18</v>
      </c>
      <c r="B200" s="1" t="s">
        <v>19</v>
      </c>
      <c r="C200" s="1" t="s">
        <v>140</v>
      </c>
      <c r="D200" s="1" t="s">
        <v>441</v>
      </c>
      <c r="E200" s="1" t="s">
        <v>21</v>
      </c>
      <c r="F200" s="1" t="s">
        <v>99</v>
      </c>
      <c r="G200" s="1" t="s">
        <v>112</v>
      </c>
      <c r="H200" s="1" t="s">
        <v>53</v>
      </c>
      <c r="I200" s="1" t="s">
        <v>442</v>
      </c>
      <c r="J200">
        <v>265</v>
      </c>
      <c r="K200" s="9">
        <v>2.4934887012000002E-4</v>
      </c>
      <c r="L200" s="9">
        <v>0.38551123105000001</v>
      </c>
      <c r="M200">
        <v>409709</v>
      </c>
      <c r="N200">
        <v>480584</v>
      </c>
      <c r="O200" s="9">
        <v>0.45220029207000001</v>
      </c>
      <c r="P200" s="11">
        <f>Telengana_Reaults_2019[[#This Row],[BJP Votes]]-Telengana_Reaults_2019[[#This Row],[Max Votes Other than BJP]]</f>
        <v>70875</v>
      </c>
      <c r="Q200" s="9">
        <f>Telengana_Reaults_2019[[#This Row],[BJP Vote Share]]-Telengana_Reaults_2019[[#This Row],[Max Votes Share other than BJP]]</f>
        <v>6.6689061019999996E-2</v>
      </c>
      <c r="R200">
        <v>1062768</v>
      </c>
      <c r="S200">
        <v>1553385</v>
      </c>
      <c r="T200" s="10">
        <v>0.68416265123999997</v>
      </c>
      <c r="U200" s="1" t="s">
        <v>26</v>
      </c>
    </row>
    <row r="201" spans="1:21" x14ac:dyDescent="0.35">
      <c r="A201" s="1" t="s">
        <v>18</v>
      </c>
      <c r="B201" s="1" t="s">
        <v>19</v>
      </c>
      <c r="C201" s="1" t="s">
        <v>140</v>
      </c>
      <c r="D201" s="1" t="s">
        <v>443</v>
      </c>
      <c r="E201" s="1" t="s">
        <v>21</v>
      </c>
      <c r="F201" s="1" t="s">
        <v>56</v>
      </c>
      <c r="G201" s="1" t="s">
        <v>112</v>
      </c>
      <c r="H201" s="1" t="s">
        <v>53</v>
      </c>
      <c r="I201" s="1" t="s">
        <v>444</v>
      </c>
      <c r="J201">
        <v>118</v>
      </c>
      <c r="K201" s="9">
        <v>1.1103081764E-4</v>
      </c>
      <c r="L201" s="9">
        <v>0.38551123105000001</v>
      </c>
      <c r="M201">
        <v>409709</v>
      </c>
      <c r="N201">
        <v>480584</v>
      </c>
      <c r="O201" s="9">
        <v>0.45220029207000001</v>
      </c>
      <c r="P201" s="11">
        <f>Telengana_Reaults_2019[[#This Row],[BJP Votes]]-Telengana_Reaults_2019[[#This Row],[Max Votes Other than BJP]]</f>
        <v>70875</v>
      </c>
      <c r="Q201" s="9">
        <f>Telengana_Reaults_2019[[#This Row],[BJP Vote Share]]-Telengana_Reaults_2019[[#This Row],[Max Votes Share other than BJP]]</f>
        <v>6.6689061019999996E-2</v>
      </c>
      <c r="R201">
        <v>1062768</v>
      </c>
      <c r="S201">
        <v>1553385</v>
      </c>
      <c r="T201" s="10">
        <v>0.68416265123999997</v>
      </c>
      <c r="U201" s="1" t="s">
        <v>26</v>
      </c>
    </row>
    <row r="202" spans="1:21" x14ac:dyDescent="0.35">
      <c r="A202" s="1" t="s">
        <v>18</v>
      </c>
      <c r="B202" s="1" t="s">
        <v>19</v>
      </c>
      <c r="C202" s="1" t="s">
        <v>140</v>
      </c>
      <c r="D202" s="1" t="s">
        <v>445</v>
      </c>
      <c r="E202" s="1" t="s">
        <v>21</v>
      </c>
      <c r="F202" s="1" t="s">
        <v>173</v>
      </c>
      <c r="G202" s="1" t="s">
        <v>112</v>
      </c>
      <c r="H202" s="1" t="s">
        <v>53</v>
      </c>
      <c r="I202" s="1" t="s">
        <v>446</v>
      </c>
      <c r="J202">
        <v>109</v>
      </c>
      <c r="K202" s="9">
        <v>1.0256236545E-4</v>
      </c>
      <c r="L202" s="9">
        <v>0.38551123105000001</v>
      </c>
      <c r="M202">
        <v>409709</v>
      </c>
      <c r="N202">
        <v>480584</v>
      </c>
      <c r="O202" s="9">
        <v>0.45220029207000001</v>
      </c>
      <c r="P202" s="11">
        <f>Telengana_Reaults_2019[[#This Row],[BJP Votes]]-Telengana_Reaults_2019[[#This Row],[Max Votes Other than BJP]]</f>
        <v>70875</v>
      </c>
      <c r="Q202" s="9">
        <f>Telengana_Reaults_2019[[#This Row],[BJP Vote Share]]-Telengana_Reaults_2019[[#This Row],[Max Votes Share other than BJP]]</f>
        <v>6.6689061019999996E-2</v>
      </c>
      <c r="R202">
        <v>1062768</v>
      </c>
      <c r="S202">
        <v>1553385</v>
      </c>
      <c r="T202" s="10">
        <v>0.68416265123999997</v>
      </c>
      <c r="U202" s="1" t="s">
        <v>26</v>
      </c>
    </row>
    <row r="203" spans="1:21" x14ac:dyDescent="0.35">
      <c r="A203" s="1" t="s">
        <v>18</v>
      </c>
      <c r="B203" s="1" t="s">
        <v>19</v>
      </c>
      <c r="C203" s="1" t="s">
        <v>140</v>
      </c>
      <c r="D203" s="1" t="s">
        <v>447</v>
      </c>
      <c r="E203" s="1" t="s">
        <v>21</v>
      </c>
      <c r="F203" s="1" t="s">
        <v>183</v>
      </c>
      <c r="G203" s="1" t="s">
        <v>112</v>
      </c>
      <c r="H203" s="1" t="s">
        <v>53</v>
      </c>
      <c r="I203" s="1" t="s">
        <v>38</v>
      </c>
      <c r="J203">
        <v>468</v>
      </c>
      <c r="K203" s="9">
        <v>4.4035951401999999E-4</v>
      </c>
      <c r="L203" s="9">
        <v>0.38551123105000001</v>
      </c>
      <c r="M203">
        <v>409709</v>
      </c>
      <c r="N203">
        <v>480584</v>
      </c>
      <c r="O203" s="9">
        <v>0.45220029207000001</v>
      </c>
      <c r="P203" s="11">
        <f>Telengana_Reaults_2019[[#This Row],[BJP Votes]]-Telengana_Reaults_2019[[#This Row],[Max Votes Other than BJP]]</f>
        <v>70875</v>
      </c>
      <c r="Q203" s="9">
        <f>Telengana_Reaults_2019[[#This Row],[BJP Vote Share]]-Telengana_Reaults_2019[[#This Row],[Max Votes Share other than BJP]]</f>
        <v>6.6689061019999996E-2</v>
      </c>
      <c r="R203">
        <v>1062768</v>
      </c>
      <c r="S203">
        <v>1553385</v>
      </c>
      <c r="T203" s="10">
        <v>0.68416265123999997</v>
      </c>
      <c r="U203" s="1" t="s">
        <v>26</v>
      </c>
    </row>
    <row r="204" spans="1:21" x14ac:dyDescent="0.35">
      <c r="A204" s="1" t="s">
        <v>18</v>
      </c>
      <c r="B204" s="1" t="s">
        <v>19</v>
      </c>
      <c r="C204" s="1" t="s">
        <v>140</v>
      </c>
      <c r="D204" s="1" t="s">
        <v>448</v>
      </c>
      <c r="E204" s="1" t="s">
        <v>21</v>
      </c>
      <c r="F204" s="1" t="s">
        <v>99</v>
      </c>
      <c r="G204" s="1" t="s">
        <v>112</v>
      </c>
      <c r="H204" s="1" t="s">
        <v>53</v>
      </c>
      <c r="I204" s="1" t="s">
        <v>449</v>
      </c>
      <c r="J204">
        <v>161</v>
      </c>
      <c r="K204" s="9">
        <v>1.5149120034E-4</v>
      </c>
      <c r="L204" s="9">
        <v>0.38551123105000001</v>
      </c>
      <c r="M204">
        <v>409709</v>
      </c>
      <c r="N204">
        <v>480584</v>
      </c>
      <c r="O204" s="9">
        <v>0.45220029207000001</v>
      </c>
      <c r="P204" s="11">
        <f>Telengana_Reaults_2019[[#This Row],[BJP Votes]]-Telengana_Reaults_2019[[#This Row],[Max Votes Other than BJP]]</f>
        <v>70875</v>
      </c>
      <c r="Q204" s="9">
        <f>Telengana_Reaults_2019[[#This Row],[BJP Vote Share]]-Telengana_Reaults_2019[[#This Row],[Max Votes Share other than BJP]]</f>
        <v>6.6689061019999996E-2</v>
      </c>
      <c r="R204">
        <v>1062768</v>
      </c>
      <c r="S204">
        <v>1553385</v>
      </c>
      <c r="T204" s="10">
        <v>0.68416265123999997</v>
      </c>
      <c r="U204" s="1" t="s">
        <v>26</v>
      </c>
    </row>
    <row r="205" spans="1:21" x14ac:dyDescent="0.35">
      <c r="A205" s="1" t="s">
        <v>18</v>
      </c>
      <c r="B205" s="1" t="s">
        <v>19</v>
      </c>
      <c r="C205" s="1" t="s">
        <v>140</v>
      </c>
      <c r="D205" s="1" t="s">
        <v>450</v>
      </c>
      <c r="E205" s="1" t="s">
        <v>21</v>
      </c>
      <c r="F205" s="1" t="s">
        <v>165</v>
      </c>
      <c r="G205" s="1" t="s">
        <v>112</v>
      </c>
      <c r="H205" s="1" t="s">
        <v>53</v>
      </c>
      <c r="I205" s="1" t="s">
        <v>451</v>
      </c>
      <c r="J205">
        <v>246</v>
      </c>
      <c r="K205" s="9">
        <v>2.314710266E-4</v>
      </c>
      <c r="L205" s="9">
        <v>0.38551123105000001</v>
      </c>
      <c r="M205">
        <v>409709</v>
      </c>
      <c r="N205">
        <v>480584</v>
      </c>
      <c r="O205" s="9">
        <v>0.45220029207000001</v>
      </c>
      <c r="P205" s="11">
        <f>Telengana_Reaults_2019[[#This Row],[BJP Votes]]-Telengana_Reaults_2019[[#This Row],[Max Votes Other than BJP]]</f>
        <v>70875</v>
      </c>
      <c r="Q205" s="9">
        <f>Telengana_Reaults_2019[[#This Row],[BJP Vote Share]]-Telengana_Reaults_2019[[#This Row],[Max Votes Share other than BJP]]</f>
        <v>6.6689061019999996E-2</v>
      </c>
      <c r="R205">
        <v>1062768</v>
      </c>
      <c r="S205">
        <v>1553385</v>
      </c>
      <c r="T205" s="10">
        <v>0.68416265123999997</v>
      </c>
      <c r="U205" s="1" t="s">
        <v>26</v>
      </c>
    </row>
    <row r="206" spans="1:21" x14ac:dyDescent="0.35">
      <c r="A206" s="1" t="s">
        <v>18</v>
      </c>
      <c r="B206" s="1" t="s">
        <v>19</v>
      </c>
      <c r="C206" s="1" t="s">
        <v>140</v>
      </c>
      <c r="D206" s="1" t="s">
        <v>452</v>
      </c>
      <c r="E206" s="1" t="s">
        <v>21</v>
      </c>
      <c r="F206" s="1" t="s">
        <v>62</v>
      </c>
      <c r="G206" s="1" t="s">
        <v>112</v>
      </c>
      <c r="H206" s="1" t="s">
        <v>53</v>
      </c>
      <c r="I206" s="1" t="s">
        <v>453</v>
      </c>
      <c r="J206">
        <v>479</v>
      </c>
      <c r="K206" s="9">
        <v>4.5070984448000002E-4</v>
      </c>
      <c r="L206" s="9">
        <v>0.38551123105000001</v>
      </c>
      <c r="M206">
        <v>409709</v>
      </c>
      <c r="N206">
        <v>480584</v>
      </c>
      <c r="O206" s="9">
        <v>0.45220029207000001</v>
      </c>
      <c r="P206" s="11">
        <f>Telengana_Reaults_2019[[#This Row],[BJP Votes]]-Telengana_Reaults_2019[[#This Row],[Max Votes Other than BJP]]</f>
        <v>70875</v>
      </c>
      <c r="Q206" s="9">
        <f>Telengana_Reaults_2019[[#This Row],[BJP Vote Share]]-Telengana_Reaults_2019[[#This Row],[Max Votes Share other than BJP]]</f>
        <v>6.6689061019999996E-2</v>
      </c>
      <c r="R206">
        <v>1062768</v>
      </c>
      <c r="S206">
        <v>1553385</v>
      </c>
      <c r="T206" s="10">
        <v>0.68416265123999997</v>
      </c>
      <c r="U206" s="1" t="s">
        <v>26</v>
      </c>
    </row>
    <row r="207" spans="1:21" x14ac:dyDescent="0.35">
      <c r="A207" s="1" t="s">
        <v>18</v>
      </c>
      <c r="B207" s="1" t="s">
        <v>19</v>
      </c>
      <c r="C207" s="1" t="s">
        <v>140</v>
      </c>
      <c r="D207" s="1" t="s">
        <v>454</v>
      </c>
      <c r="E207" s="1" t="s">
        <v>21</v>
      </c>
      <c r="F207" s="1" t="s">
        <v>165</v>
      </c>
      <c r="G207" s="1" t="s">
        <v>67</v>
      </c>
      <c r="H207" s="1" t="s">
        <v>53</v>
      </c>
      <c r="I207" s="1" t="s">
        <v>455</v>
      </c>
      <c r="J207">
        <v>627</v>
      </c>
      <c r="K207" s="9">
        <v>5.8996883609999996E-4</v>
      </c>
      <c r="L207" s="9">
        <v>0.38551123105000001</v>
      </c>
      <c r="M207">
        <v>409709</v>
      </c>
      <c r="N207">
        <v>480584</v>
      </c>
      <c r="O207" s="9">
        <v>0.45220029207000001</v>
      </c>
      <c r="P207" s="11">
        <f>Telengana_Reaults_2019[[#This Row],[BJP Votes]]-Telengana_Reaults_2019[[#This Row],[Max Votes Other than BJP]]</f>
        <v>70875</v>
      </c>
      <c r="Q207" s="9">
        <f>Telengana_Reaults_2019[[#This Row],[BJP Vote Share]]-Telengana_Reaults_2019[[#This Row],[Max Votes Share other than BJP]]</f>
        <v>6.6689061019999996E-2</v>
      </c>
      <c r="R207">
        <v>1062768</v>
      </c>
      <c r="S207">
        <v>1553385</v>
      </c>
      <c r="T207" s="10">
        <v>0.68416265123999997</v>
      </c>
      <c r="U207" s="1" t="s">
        <v>26</v>
      </c>
    </row>
    <row r="208" spans="1:21" x14ac:dyDescent="0.35">
      <c r="A208" s="1" t="s">
        <v>18</v>
      </c>
      <c r="B208" s="1" t="s">
        <v>19</v>
      </c>
      <c r="C208" s="1" t="s">
        <v>140</v>
      </c>
      <c r="D208" s="1" t="s">
        <v>456</v>
      </c>
      <c r="E208" s="1" t="s">
        <v>21</v>
      </c>
      <c r="F208" s="1" t="s">
        <v>165</v>
      </c>
      <c r="G208" s="1" t="s">
        <v>112</v>
      </c>
      <c r="H208" s="1" t="s">
        <v>53</v>
      </c>
      <c r="I208" s="1" t="s">
        <v>457</v>
      </c>
      <c r="J208">
        <v>698</v>
      </c>
      <c r="K208" s="9">
        <v>6.5677551450999999E-4</v>
      </c>
      <c r="L208" s="9">
        <v>0.38551123105000001</v>
      </c>
      <c r="M208">
        <v>409709</v>
      </c>
      <c r="N208">
        <v>480584</v>
      </c>
      <c r="O208" s="9">
        <v>0.45220029207000001</v>
      </c>
      <c r="P208" s="11">
        <f>Telengana_Reaults_2019[[#This Row],[BJP Votes]]-Telengana_Reaults_2019[[#This Row],[Max Votes Other than BJP]]</f>
        <v>70875</v>
      </c>
      <c r="Q208" s="9">
        <f>Telengana_Reaults_2019[[#This Row],[BJP Vote Share]]-Telengana_Reaults_2019[[#This Row],[Max Votes Share other than BJP]]</f>
        <v>6.6689061019999996E-2</v>
      </c>
      <c r="R208">
        <v>1062768</v>
      </c>
      <c r="S208">
        <v>1553385</v>
      </c>
      <c r="T208" s="10">
        <v>0.68416265123999997</v>
      </c>
      <c r="U208" s="1" t="s">
        <v>26</v>
      </c>
    </row>
    <row r="209" spans="1:21" x14ac:dyDescent="0.35">
      <c r="A209" s="1" t="s">
        <v>18</v>
      </c>
      <c r="B209" s="1" t="s">
        <v>19</v>
      </c>
      <c r="C209" s="1" t="s">
        <v>140</v>
      </c>
      <c r="D209" s="1" t="s">
        <v>458</v>
      </c>
      <c r="E209" s="1" t="s">
        <v>21</v>
      </c>
      <c r="F209" s="1" t="s">
        <v>125</v>
      </c>
      <c r="G209" s="1" t="s">
        <v>112</v>
      </c>
      <c r="H209" s="1" t="s">
        <v>53</v>
      </c>
      <c r="I209" s="1" t="s">
        <v>459</v>
      </c>
      <c r="J209">
        <v>361</v>
      </c>
      <c r="K209" s="9">
        <v>3.3967902684000002E-4</v>
      </c>
      <c r="L209" s="9">
        <v>0.38551123105000001</v>
      </c>
      <c r="M209">
        <v>409709</v>
      </c>
      <c r="N209">
        <v>480584</v>
      </c>
      <c r="O209" s="9">
        <v>0.45220029207000001</v>
      </c>
      <c r="P209" s="11">
        <f>Telengana_Reaults_2019[[#This Row],[BJP Votes]]-Telengana_Reaults_2019[[#This Row],[Max Votes Other than BJP]]</f>
        <v>70875</v>
      </c>
      <c r="Q209" s="9">
        <f>Telengana_Reaults_2019[[#This Row],[BJP Vote Share]]-Telengana_Reaults_2019[[#This Row],[Max Votes Share other than BJP]]</f>
        <v>6.6689061019999996E-2</v>
      </c>
      <c r="R209">
        <v>1062768</v>
      </c>
      <c r="S209">
        <v>1553385</v>
      </c>
      <c r="T209" s="10">
        <v>0.68416265123999997</v>
      </c>
      <c r="U209" s="1" t="s">
        <v>26</v>
      </c>
    </row>
    <row r="210" spans="1:21" x14ac:dyDescent="0.35">
      <c r="A210" s="1" t="s">
        <v>18</v>
      </c>
      <c r="B210" s="1" t="s">
        <v>19</v>
      </c>
      <c r="C210" s="1" t="s">
        <v>140</v>
      </c>
      <c r="D210" s="1" t="s">
        <v>460</v>
      </c>
      <c r="E210" s="1" t="s">
        <v>21</v>
      </c>
      <c r="F210" s="1" t="s">
        <v>95</v>
      </c>
      <c r="G210" s="1" t="s">
        <v>112</v>
      </c>
      <c r="H210" s="1" t="s">
        <v>53</v>
      </c>
      <c r="I210" s="1" t="s">
        <v>461</v>
      </c>
      <c r="J210">
        <v>1246</v>
      </c>
      <c r="K210" s="9">
        <v>1.1724101590999999E-3</v>
      </c>
      <c r="L210" s="9">
        <v>0.38551123105000001</v>
      </c>
      <c r="M210">
        <v>409709</v>
      </c>
      <c r="N210">
        <v>480584</v>
      </c>
      <c r="O210" s="9">
        <v>0.45220029207000001</v>
      </c>
      <c r="P210" s="11">
        <f>Telengana_Reaults_2019[[#This Row],[BJP Votes]]-Telengana_Reaults_2019[[#This Row],[Max Votes Other than BJP]]</f>
        <v>70875</v>
      </c>
      <c r="Q210" s="9">
        <f>Telengana_Reaults_2019[[#This Row],[BJP Vote Share]]-Telengana_Reaults_2019[[#This Row],[Max Votes Share other than BJP]]</f>
        <v>6.6689061019999996E-2</v>
      </c>
      <c r="R210">
        <v>1062768</v>
      </c>
      <c r="S210">
        <v>1553385</v>
      </c>
      <c r="T210" s="10">
        <v>0.68416265123999997</v>
      </c>
      <c r="U210" s="1" t="s">
        <v>26</v>
      </c>
    </row>
    <row r="211" spans="1:21" x14ac:dyDescent="0.35">
      <c r="A211" s="1" t="s">
        <v>18</v>
      </c>
      <c r="B211" s="1" t="s">
        <v>19</v>
      </c>
      <c r="C211" s="1" t="s">
        <v>140</v>
      </c>
      <c r="D211" s="1" t="s">
        <v>462</v>
      </c>
      <c r="E211" s="1" t="s">
        <v>21</v>
      </c>
      <c r="F211" s="1" t="s">
        <v>379</v>
      </c>
      <c r="G211" s="1" t="s">
        <v>67</v>
      </c>
      <c r="H211" s="1" t="s">
        <v>53</v>
      </c>
      <c r="I211" s="1" t="s">
        <v>463</v>
      </c>
      <c r="J211">
        <v>204</v>
      </c>
      <c r="K211" s="9">
        <v>1.9195158304000001E-4</v>
      </c>
      <c r="L211" s="9">
        <v>0.38551123105000001</v>
      </c>
      <c r="M211">
        <v>409709</v>
      </c>
      <c r="N211">
        <v>480584</v>
      </c>
      <c r="O211" s="9">
        <v>0.45220029207000001</v>
      </c>
      <c r="P211" s="11">
        <f>Telengana_Reaults_2019[[#This Row],[BJP Votes]]-Telengana_Reaults_2019[[#This Row],[Max Votes Other than BJP]]</f>
        <v>70875</v>
      </c>
      <c r="Q211" s="9">
        <f>Telengana_Reaults_2019[[#This Row],[BJP Vote Share]]-Telengana_Reaults_2019[[#This Row],[Max Votes Share other than BJP]]</f>
        <v>6.6689061019999996E-2</v>
      </c>
      <c r="R211">
        <v>1062768</v>
      </c>
      <c r="S211">
        <v>1553385</v>
      </c>
      <c r="T211" s="10">
        <v>0.68416265123999997</v>
      </c>
      <c r="U211" s="1" t="s">
        <v>26</v>
      </c>
    </row>
    <row r="212" spans="1:21" x14ac:dyDescent="0.35">
      <c r="A212" s="1" t="s">
        <v>18</v>
      </c>
      <c r="B212" s="1" t="s">
        <v>19</v>
      </c>
      <c r="C212" s="1" t="s">
        <v>140</v>
      </c>
      <c r="D212" s="1" t="s">
        <v>464</v>
      </c>
      <c r="E212" s="1" t="s">
        <v>21</v>
      </c>
      <c r="F212" s="1" t="s">
        <v>125</v>
      </c>
      <c r="G212" s="1" t="s">
        <v>112</v>
      </c>
      <c r="H212" s="1" t="s">
        <v>53</v>
      </c>
      <c r="I212" s="1" t="s">
        <v>465</v>
      </c>
      <c r="J212">
        <v>199</v>
      </c>
      <c r="K212" s="9">
        <v>1.8724688737000001E-4</v>
      </c>
      <c r="L212" s="9">
        <v>0.38551123105000001</v>
      </c>
      <c r="M212">
        <v>409709</v>
      </c>
      <c r="N212">
        <v>480584</v>
      </c>
      <c r="O212" s="9">
        <v>0.45220029207000001</v>
      </c>
      <c r="P212" s="11">
        <f>Telengana_Reaults_2019[[#This Row],[BJP Votes]]-Telengana_Reaults_2019[[#This Row],[Max Votes Other than BJP]]</f>
        <v>70875</v>
      </c>
      <c r="Q212" s="9">
        <f>Telengana_Reaults_2019[[#This Row],[BJP Vote Share]]-Telengana_Reaults_2019[[#This Row],[Max Votes Share other than BJP]]</f>
        <v>6.6689061019999996E-2</v>
      </c>
      <c r="R212">
        <v>1062768</v>
      </c>
      <c r="S212">
        <v>1553385</v>
      </c>
      <c r="T212" s="10">
        <v>0.68416265123999997</v>
      </c>
      <c r="U212" s="1" t="s">
        <v>26</v>
      </c>
    </row>
    <row r="213" spans="1:21" x14ac:dyDescent="0.35">
      <c r="A213" s="1" t="s">
        <v>18</v>
      </c>
      <c r="B213" s="1" t="s">
        <v>19</v>
      </c>
      <c r="C213" s="1" t="s">
        <v>140</v>
      </c>
      <c r="D213" s="1" t="s">
        <v>466</v>
      </c>
      <c r="E213" s="1" t="s">
        <v>21</v>
      </c>
      <c r="F213" s="1" t="s">
        <v>44</v>
      </c>
      <c r="G213" s="1" t="s">
        <v>112</v>
      </c>
      <c r="H213" s="1" t="s">
        <v>53</v>
      </c>
      <c r="I213" s="1" t="s">
        <v>467</v>
      </c>
      <c r="J213">
        <v>112</v>
      </c>
      <c r="K213" s="9">
        <v>1.0538518284E-4</v>
      </c>
      <c r="L213" s="9">
        <v>0.38551123105000001</v>
      </c>
      <c r="M213">
        <v>409709</v>
      </c>
      <c r="N213">
        <v>480584</v>
      </c>
      <c r="O213" s="9">
        <v>0.45220029207000001</v>
      </c>
      <c r="P213" s="11">
        <f>Telengana_Reaults_2019[[#This Row],[BJP Votes]]-Telengana_Reaults_2019[[#This Row],[Max Votes Other than BJP]]</f>
        <v>70875</v>
      </c>
      <c r="Q213" s="9">
        <f>Telengana_Reaults_2019[[#This Row],[BJP Vote Share]]-Telengana_Reaults_2019[[#This Row],[Max Votes Share other than BJP]]</f>
        <v>6.6689061019999996E-2</v>
      </c>
      <c r="R213">
        <v>1062768</v>
      </c>
      <c r="S213">
        <v>1553385</v>
      </c>
      <c r="T213" s="10">
        <v>0.68416265123999997</v>
      </c>
      <c r="U213" s="1" t="s">
        <v>26</v>
      </c>
    </row>
    <row r="214" spans="1:21" x14ac:dyDescent="0.35">
      <c r="A214" s="1" t="s">
        <v>18</v>
      </c>
      <c r="B214" s="1" t="s">
        <v>19</v>
      </c>
      <c r="C214" s="1" t="s">
        <v>140</v>
      </c>
      <c r="D214" s="1" t="s">
        <v>468</v>
      </c>
      <c r="E214" s="1" t="s">
        <v>21</v>
      </c>
      <c r="F214" s="1" t="s">
        <v>36</v>
      </c>
      <c r="G214" s="1" t="s">
        <v>67</v>
      </c>
      <c r="H214" s="1" t="s">
        <v>53</v>
      </c>
      <c r="I214" s="1" t="s">
        <v>60</v>
      </c>
      <c r="J214">
        <v>108</v>
      </c>
      <c r="K214" s="9">
        <v>1.0162142631E-4</v>
      </c>
      <c r="L214" s="9">
        <v>0.38551123105000001</v>
      </c>
      <c r="M214">
        <v>409709</v>
      </c>
      <c r="N214">
        <v>480584</v>
      </c>
      <c r="O214" s="9">
        <v>0.45220029207000001</v>
      </c>
      <c r="P214" s="11">
        <f>Telengana_Reaults_2019[[#This Row],[BJP Votes]]-Telengana_Reaults_2019[[#This Row],[Max Votes Other than BJP]]</f>
        <v>70875</v>
      </c>
      <c r="Q214" s="9">
        <f>Telengana_Reaults_2019[[#This Row],[BJP Vote Share]]-Telengana_Reaults_2019[[#This Row],[Max Votes Share other than BJP]]</f>
        <v>6.6689061019999996E-2</v>
      </c>
      <c r="R214">
        <v>1062768</v>
      </c>
      <c r="S214">
        <v>1553385</v>
      </c>
      <c r="T214" s="10">
        <v>0.68416265123999997</v>
      </c>
      <c r="U214" s="1" t="s">
        <v>26</v>
      </c>
    </row>
    <row r="215" spans="1:21" x14ac:dyDescent="0.35">
      <c r="A215" s="1" t="s">
        <v>18</v>
      </c>
      <c r="B215" s="1" t="s">
        <v>19</v>
      </c>
      <c r="C215" s="1" t="s">
        <v>140</v>
      </c>
      <c r="D215" s="1" t="s">
        <v>469</v>
      </c>
      <c r="E215" s="1" t="s">
        <v>21</v>
      </c>
      <c r="F215" s="1" t="s">
        <v>44</v>
      </c>
      <c r="G215" s="1" t="s">
        <v>112</v>
      </c>
      <c r="H215" s="1" t="s">
        <v>53</v>
      </c>
      <c r="I215" s="1" t="s">
        <v>470</v>
      </c>
      <c r="J215">
        <v>142</v>
      </c>
      <c r="K215" s="9">
        <v>1.3361335681999999E-4</v>
      </c>
      <c r="L215" s="9">
        <v>0.38551123105000001</v>
      </c>
      <c r="M215">
        <v>409709</v>
      </c>
      <c r="N215">
        <v>480584</v>
      </c>
      <c r="O215" s="9">
        <v>0.45220029207000001</v>
      </c>
      <c r="P215" s="11">
        <f>Telengana_Reaults_2019[[#This Row],[BJP Votes]]-Telengana_Reaults_2019[[#This Row],[Max Votes Other than BJP]]</f>
        <v>70875</v>
      </c>
      <c r="Q215" s="9">
        <f>Telengana_Reaults_2019[[#This Row],[BJP Vote Share]]-Telengana_Reaults_2019[[#This Row],[Max Votes Share other than BJP]]</f>
        <v>6.6689061019999996E-2</v>
      </c>
      <c r="R215">
        <v>1062768</v>
      </c>
      <c r="S215">
        <v>1553385</v>
      </c>
      <c r="T215" s="10">
        <v>0.68416265123999997</v>
      </c>
      <c r="U215" s="1" t="s">
        <v>26</v>
      </c>
    </row>
    <row r="216" spans="1:21" x14ac:dyDescent="0.35">
      <c r="A216" s="1" t="s">
        <v>18</v>
      </c>
      <c r="B216" s="1" t="s">
        <v>19</v>
      </c>
      <c r="C216" s="1" t="s">
        <v>140</v>
      </c>
      <c r="D216" s="1" t="s">
        <v>471</v>
      </c>
      <c r="E216" s="1" t="s">
        <v>21</v>
      </c>
      <c r="F216" s="1" t="s">
        <v>104</v>
      </c>
      <c r="G216" s="1" t="s">
        <v>112</v>
      </c>
      <c r="H216" s="1" t="s">
        <v>53</v>
      </c>
      <c r="I216" s="1" t="s">
        <v>472</v>
      </c>
      <c r="J216">
        <v>129</v>
      </c>
      <c r="K216" s="9">
        <v>1.2138114810000001E-4</v>
      </c>
      <c r="L216" s="9">
        <v>0.38551123105000001</v>
      </c>
      <c r="M216">
        <v>409709</v>
      </c>
      <c r="N216">
        <v>480584</v>
      </c>
      <c r="O216" s="9">
        <v>0.45220029207000001</v>
      </c>
      <c r="P216" s="11">
        <f>Telengana_Reaults_2019[[#This Row],[BJP Votes]]-Telengana_Reaults_2019[[#This Row],[Max Votes Other than BJP]]</f>
        <v>70875</v>
      </c>
      <c r="Q216" s="9">
        <f>Telengana_Reaults_2019[[#This Row],[BJP Vote Share]]-Telengana_Reaults_2019[[#This Row],[Max Votes Share other than BJP]]</f>
        <v>6.6689061019999996E-2</v>
      </c>
      <c r="R216">
        <v>1062768</v>
      </c>
      <c r="S216">
        <v>1553385</v>
      </c>
      <c r="T216" s="10">
        <v>0.68416265123999997</v>
      </c>
      <c r="U216" s="1" t="s">
        <v>26</v>
      </c>
    </row>
    <row r="217" spans="1:21" x14ac:dyDescent="0.35">
      <c r="A217" s="1" t="s">
        <v>18</v>
      </c>
      <c r="B217" s="1" t="s">
        <v>19</v>
      </c>
      <c r="C217" s="1" t="s">
        <v>140</v>
      </c>
      <c r="D217" s="1" t="s">
        <v>473</v>
      </c>
      <c r="E217" s="1" t="s">
        <v>21</v>
      </c>
      <c r="F217" s="1" t="s">
        <v>71</v>
      </c>
      <c r="G217" s="1" t="s">
        <v>112</v>
      </c>
      <c r="H217" s="1" t="s">
        <v>53</v>
      </c>
      <c r="I217" s="1" t="s">
        <v>139</v>
      </c>
      <c r="J217">
        <v>387</v>
      </c>
      <c r="K217" s="9">
        <v>3.6414344429000001E-4</v>
      </c>
      <c r="L217" s="9">
        <v>0.38551123105000001</v>
      </c>
      <c r="M217">
        <v>409709</v>
      </c>
      <c r="N217">
        <v>480584</v>
      </c>
      <c r="O217" s="9">
        <v>0.45220029207000001</v>
      </c>
      <c r="P217" s="11">
        <f>Telengana_Reaults_2019[[#This Row],[BJP Votes]]-Telengana_Reaults_2019[[#This Row],[Max Votes Other than BJP]]</f>
        <v>70875</v>
      </c>
      <c r="Q217" s="9">
        <f>Telengana_Reaults_2019[[#This Row],[BJP Vote Share]]-Telengana_Reaults_2019[[#This Row],[Max Votes Share other than BJP]]</f>
        <v>6.6689061019999996E-2</v>
      </c>
      <c r="R217">
        <v>1062768</v>
      </c>
      <c r="S217">
        <v>1553385</v>
      </c>
      <c r="T217" s="10">
        <v>0.68416265123999997</v>
      </c>
      <c r="U217" s="1" t="s">
        <v>26</v>
      </c>
    </row>
    <row r="218" spans="1:21" x14ac:dyDescent="0.35">
      <c r="A218" s="1" t="s">
        <v>18</v>
      </c>
      <c r="B218" s="1" t="s">
        <v>19</v>
      </c>
      <c r="C218" s="1" t="s">
        <v>140</v>
      </c>
      <c r="D218" s="1" t="s">
        <v>474</v>
      </c>
      <c r="E218" s="1" t="s">
        <v>21</v>
      </c>
      <c r="F218" s="1" t="s">
        <v>80</v>
      </c>
      <c r="G218" s="1" t="s">
        <v>112</v>
      </c>
      <c r="H218" s="1" t="s">
        <v>53</v>
      </c>
      <c r="I218" s="1" t="s">
        <v>475</v>
      </c>
      <c r="J218">
        <v>176</v>
      </c>
      <c r="K218" s="9">
        <v>1.6560528733E-4</v>
      </c>
      <c r="L218" s="9">
        <v>0.38551123105000001</v>
      </c>
      <c r="M218">
        <v>409709</v>
      </c>
      <c r="N218">
        <v>480584</v>
      </c>
      <c r="O218" s="9">
        <v>0.45220029207000001</v>
      </c>
      <c r="P218" s="11">
        <f>Telengana_Reaults_2019[[#This Row],[BJP Votes]]-Telengana_Reaults_2019[[#This Row],[Max Votes Other than BJP]]</f>
        <v>70875</v>
      </c>
      <c r="Q218" s="9">
        <f>Telengana_Reaults_2019[[#This Row],[BJP Vote Share]]-Telengana_Reaults_2019[[#This Row],[Max Votes Share other than BJP]]</f>
        <v>6.6689061019999996E-2</v>
      </c>
      <c r="R218">
        <v>1062768</v>
      </c>
      <c r="S218">
        <v>1553385</v>
      </c>
      <c r="T218" s="10">
        <v>0.68416265123999997</v>
      </c>
      <c r="U218" s="1" t="s">
        <v>26</v>
      </c>
    </row>
    <row r="219" spans="1:21" x14ac:dyDescent="0.35">
      <c r="A219" s="1" t="s">
        <v>18</v>
      </c>
      <c r="B219" s="1" t="s">
        <v>19</v>
      </c>
      <c r="C219" s="1" t="s">
        <v>140</v>
      </c>
      <c r="D219" s="1" t="s">
        <v>476</v>
      </c>
      <c r="E219" s="1" t="s">
        <v>21</v>
      </c>
      <c r="F219" s="1" t="s">
        <v>91</v>
      </c>
      <c r="G219" s="1" t="s">
        <v>112</v>
      </c>
      <c r="H219" s="1" t="s">
        <v>53</v>
      </c>
      <c r="I219" s="1" t="s">
        <v>477</v>
      </c>
      <c r="J219">
        <v>183</v>
      </c>
      <c r="K219" s="9">
        <v>1.7219186125000001E-4</v>
      </c>
      <c r="L219" s="9">
        <v>0.38551123105000001</v>
      </c>
      <c r="M219">
        <v>409709</v>
      </c>
      <c r="N219">
        <v>480584</v>
      </c>
      <c r="O219" s="9">
        <v>0.45220029207000001</v>
      </c>
      <c r="P219" s="11">
        <f>Telengana_Reaults_2019[[#This Row],[BJP Votes]]-Telengana_Reaults_2019[[#This Row],[Max Votes Other than BJP]]</f>
        <v>70875</v>
      </c>
      <c r="Q219" s="9">
        <f>Telengana_Reaults_2019[[#This Row],[BJP Vote Share]]-Telengana_Reaults_2019[[#This Row],[Max Votes Share other than BJP]]</f>
        <v>6.6689061019999996E-2</v>
      </c>
      <c r="R219">
        <v>1062768</v>
      </c>
      <c r="S219">
        <v>1553385</v>
      </c>
      <c r="T219" s="10">
        <v>0.68416265123999997</v>
      </c>
      <c r="U219" s="1" t="s">
        <v>26</v>
      </c>
    </row>
    <row r="220" spans="1:21" x14ac:dyDescent="0.35">
      <c r="A220" s="1" t="s">
        <v>18</v>
      </c>
      <c r="B220" s="1" t="s">
        <v>19</v>
      </c>
      <c r="C220" s="1" t="s">
        <v>140</v>
      </c>
      <c r="D220" s="1" t="s">
        <v>478</v>
      </c>
      <c r="E220" s="1" t="s">
        <v>21</v>
      </c>
      <c r="F220" s="1" t="s">
        <v>80</v>
      </c>
      <c r="G220" s="1" t="s">
        <v>112</v>
      </c>
      <c r="H220" s="1" t="s">
        <v>53</v>
      </c>
      <c r="I220" s="1" t="s">
        <v>479</v>
      </c>
      <c r="J220">
        <v>140</v>
      </c>
      <c r="K220" s="9">
        <v>1.3173147855E-4</v>
      </c>
      <c r="L220" s="9">
        <v>0.38551123105000001</v>
      </c>
      <c r="M220">
        <v>409709</v>
      </c>
      <c r="N220">
        <v>480584</v>
      </c>
      <c r="O220" s="9">
        <v>0.45220029207000001</v>
      </c>
      <c r="P220" s="11">
        <f>Telengana_Reaults_2019[[#This Row],[BJP Votes]]-Telengana_Reaults_2019[[#This Row],[Max Votes Other than BJP]]</f>
        <v>70875</v>
      </c>
      <c r="Q220" s="9">
        <f>Telengana_Reaults_2019[[#This Row],[BJP Vote Share]]-Telengana_Reaults_2019[[#This Row],[Max Votes Share other than BJP]]</f>
        <v>6.6689061019999996E-2</v>
      </c>
      <c r="R220">
        <v>1062768</v>
      </c>
      <c r="S220">
        <v>1553385</v>
      </c>
      <c r="T220" s="10">
        <v>0.68416265123999997</v>
      </c>
      <c r="U220" s="1" t="s">
        <v>26</v>
      </c>
    </row>
    <row r="221" spans="1:21" x14ac:dyDescent="0.35">
      <c r="A221" s="1" t="s">
        <v>18</v>
      </c>
      <c r="B221" s="1" t="s">
        <v>19</v>
      </c>
      <c r="C221" s="1" t="s">
        <v>140</v>
      </c>
      <c r="D221" s="1" t="s">
        <v>480</v>
      </c>
      <c r="E221" s="1" t="s">
        <v>21</v>
      </c>
      <c r="F221" s="1" t="s">
        <v>52</v>
      </c>
      <c r="G221" s="1" t="s">
        <v>112</v>
      </c>
      <c r="H221" s="1" t="s">
        <v>53</v>
      </c>
      <c r="I221" s="1" t="s">
        <v>481</v>
      </c>
      <c r="J221">
        <v>142</v>
      </c>
      <c r="K221" s="9">
        <v>1.3361335681999999E-4</v>
      </c>
      <c r="L221" s="9">
        <v>0.38551123105000001</v>
      </c>
      <c r="M221">
        <v>409709</v>
      </c>
      <c r="N221">
        <v>480584</v>
      </c>
      <c r="O221" s="9">
        <v>0.45220029207000001</v>
      </c>
      <c r="P221" s="11">
        <f>Telengana_Reaults_2019[[#This Row],[BJP Votes]]-Telengana_Reaults_2019[[#This Row],[Max Votes Other than BJP]]</f>
        <v>70875</v>
      </c>
      <c r="Q221" s="9">
        <f>Telengana_Reaults_2019[[#This Row],[BJP Vote Share]]-Telengana_Reaults_2019[[#This Row],[Max Votes Share other than BJP]]</f>
        <v>6.6689061019999996E-2</v>
      </c>
      <c r="R221">
        <v>1062768</v>
      </c>
      <c r="S221">
        <v>1553385</v>
      </c>
      <c r="T221" s="10">
        <v>0.68416265123999997</v>
      </c>
      <c r="U221" s="1" t="s">
        <v>26</v>
      </c>
    </row>
    <row r="222" spans="1:21" x14ac:dyDescent="0.35">
      <c r="A222" s="1" t="s">
        <v>18</v>
      </c>
      <c r="B222" s="1" t="s">
        <v>19</v>
      </c>
      <c r="C222" s="1" t="s">
        <v>140</v>
      </c>
      <c r="D222" s="1" t="s">
        <v>482</v>
      </c>
      <c r="E222" s="1" t="s">
        <v>21</v>
      </c>
      <c r="F222" s="1" t="s">
        <v>36</v>
      </c>
      <c r="G222" s="1" t="s">
        <v>112</v>
      </c>
      <c r="H222" s="1" t="s">
        <v>53</v>
      </c>
      <c r="I222" s="1" t="s">
        <v>483</v>
      </c>
      <c r="J222">
        <v>365</v>
      </c>
      <c r="K222" s="9">
        <v>3.4344278337000001E-4</v>
      </c>
      <c r="L222" s="9">
        <v>0.38551123105000001</v>
      </c>
      <c r="M222">
        <v>409709</v>
      </c>
      <c r="N222">
        <v>480584</v>
      </c>
      <c r="O222" s="9">
        <v>0.45220029207000001</v>
      </c>
      <c r="P222" s="11">
        <f>Telengana_Reaults_2019[[#This Row],[BJP Votes]]-Telengana_Reaults_2019[[#This Row],[Max Votes Other than BJP]]</f>
        <v>70875</v>
      </c>
      <c r="Q222" s="9">
        <f>Telengana_Reaults_2019[[#This Row],[BJP Vote Share]]-Telengana_Reaults_2019[[#This Row],[Max Votes Share other than BJP]]</f>
        <v>6.6689061019999996E-2</v>
      </c>
      <c r="R222">
        <v>1062768</v>
      </c>
      <c r="S222">
        <v>1553385</v>
      </c>
      <c r="T222" s="10">
        <v>0.68416265123999997</v>
      </c>
      <c r="U222" s="1" t="s">
        <v>26</v>
      </c>
    </row>
    <row r="223" spans="1:21" x14ac:dyDescent="0.35">
      <c r="A223" s="1" t="s">
        <v>18</v>
      </c>
      <c r="B223" s="1" t="s">
        <v>19</v>
      </c>
      <c r="C223" s="1" t="s">
        <v>140</v>
      </c>
      <c r="D223" s="1" t="s">
        <v>484</v>
      </c>
      <c r="E223" s="1" t="s">
        <v>21</v>
      </c>
      <c r="F223" s="1" t="s">
        <v>205</v>
      </c>
      <c r="G223" s="1" t="s">
        <v>112</v>
      </c>
      <c r="H223" s="1" t="s">
        <v>53</v>
      </c>
      <c r="I223" s="1" t="s">
        <v>485</v>
      </c>
      <c r="J223">
        <v>720</v>
      </c>
      <c r="K223" s="9">
        <v>6.7747617542000002E-4</v>
      </c>
      <c r="L223" s="9">
        <v>0.38551123105000001</v>
      </c>
      <c r="M223">
        <v>409709</v>
      </c>
      <c r="N223">
        <v>480584</v>
      </c>
      <c r="O223" s="9">
        <v>0.45220029207000001</v>
      </c>
      <c r="P223" s="11">
        <f>Telengana_Reaults_2019[[#This Row],[BJP Votes]]-Telengana_Reaults_2019[[#This Row],[Max Votes Other than BJP]]</f>
        <v>70875</v>
      </c>
      <c r="Q223" s="9">
        <f>Telengana_Reaults_2019[[#This Row],[BJP Vote Share]]-Telengana_Reaults_2019[[#This Row],[Max Votes Share other than BJP]]</f>
        <v>6.6689061019999996E-2</v>
      </c>
      <c r="R223">
        <v>1062768</v>
      </c>
      <c r="S223">
        <v>1553385</v>
      </c>
      <c r="T223" s="10">
        <v>0.68416265123999997</v>
      </c>
      <c r="U223" s="1" t="s">
        <v>26</v>
      </c>
    </row>
    <row r="224" spans="1:21" x14ac:dyDescent="0.35">
      <c r="A224" s="1" t="s">
        <v>18</v>
      </c>
      <c r="B224" s="1" t="s">
        <v>19</v>
      </c>
      <c r="C224" s="1" t="s">
        <v>140</v>
      </c>
      <c r="D224" s="1" t="s">
        <v>486</v>
      </c>
      <c r="E224" s="1" t="s">
        <v>21</v>
      </c>
      <c r="F224" s="1" t="s">
        <v>125</v>
      </c>
      <c r="G224" s="1" t="s">
        <v>67</v>
      </c>
      <c r="H224" s="1" t="s">
        <v>53</v>
      </c>
      <c r="I224" s="1" t="s">
        <v>487</v>
      </c>
      <c r="J224">
        <v>1257</v>
      </c>
      <c r="K224" s="9">
        <v>1.1827604896E-3</v>
      </c>
      <c r="L224" s="9">
        <v>0.38551123105000001</v>
      </c>
      <c r="M224">
        <v>409709</v>
      </c>
      <c r="N224">
        <v>480584</v>
      </c>
      <c r="O224" s="9">
        <v>0.45220029207000001</v>
      </c>
      <c r="P224" s="11">
        <f>Telengana_Reaults_2019[[#This Row],[BJP Votes]]-Telengana_Reaults_2019[[#This Row],[Max Votes Other than BJP]]</f>
        <v>70875</v>
      </c>
      <c r="Q224" s="9">
        <f>Telengana_Reaults_2019[[#This Row],[BJP Vote Share]]-Telengana_Reaults_2019[[#This Row],[Max Votes Share other than BJP]]</f>
        <v>6.6689061019999996E-2</v>
      </c>
      <c r="R224">
        <v>1062768</v>
      </c>
      <c r="S224">
        <v>1553385</v>
      </c>
      <c r="T224" s="10">
        <v>0.68416265123999997</v>
      </c>
      <c r="U224" s="1" t="s">
        <v>26</v>
      </c>
    </row>
    <row r="225" spans="1:21" x14ac:dyDescent="0.35">
      <c r="A225" s="1" t="s">
        <v>18</v>
      </c>
      <c r="B225" s="1" t="s">
        <v>19</v>
      </c>
      <c r="C225" s="1" t="s">
        <v>140</v>
      </c>
      <c r="D225" s="1" t="s">
        <v>488</v>
      </c>
      <c r="E225" s="1" t="s">
        <v>21</v>
      </c>
      <c r="F225" s="1" t="s">
        <v>75</v>
      </c>
      <c r="G225" s="1" t="s">
        <v>112</v>
      </c>
      <c r="H225" s="1" t="s">
        <v>53</v>
      </c>
      <c r="I225" s="1" t="s">
        <v>489</v>
      </c>
      <c r="J225">
        <v>836</v>
      </c>
      <c r="K225" s="9">
        <v>7.8662511478999999E-4</v>
      </c>
      <c r="L225" s="9">
        <v>0.38551123105000001</v>
      </c>
      <c r="M225">
        <v>409709</v>
      </c>
      <c r="N225">
        <v>480584</v>
      </c>
      <c r="O225" s="9">
        <v>0.45220029207000001</v>
      </c>
      <c r="P225" s="11">
        <f>Telengana_Reaults_2019[[#This Row],[BJP Votes]]-Telengana_Reaults_2019[[#This Row],[Max Votes Other than BJP]]</f>
        <v>70875</v>
      </c>
      <c r="Q225" s="9">
        <f>Telengana_Reaults_2019[[#This Row],[BJP Vote Share]]-Telengana_Reaults_2019[[#This Row],[Max Votes Share other than BJP]]</f>
        <v>6.6689061019999996E-2</v>
      </c>
      <c r="R225">
        <v>1062768</v>
      </c>
      <c r="S225">
        <v>1553385</v>
      </c>
      <c r="T225" s="10">
        <v>0.68416265123999997</v>
      </c>
      <c r="U225" s="1" t="s">
        <v>26</v>
      </c>
    </row>
    <row r="226" spans="1:21" x14ac:dyDescent="0.35">
      <c r="A226" s="1" t="s">
        <v>18</v>
      </c>
      <c r="B226" s="1" t="s">
        <v>19</v>
      </c>
      <c r="C226" s="1" t="s">
        <v>140</v>
      </c>
      <c r="D226" s="1" t="s">
        <v>490</v>
      </c>
      <c r="E226" s="1" t="s">
        <v>21</v>
      </c>
      <c r="F226" s="1" t="s">
        <v>205</v>
      </c>
      <c r="G226" s="1" t="s">
        <v>112</v>
      </c>
      <c r="H226" s="1" t="s">
        <v>53</v>
      </c>
      <c r="I226" s="1" t="s">
        <v>491</v>
      </c>
      <c r="J226">
        <v>293</v>
      </c>
      <c r="K226" s="9">
        <v>2.7569516583000002E-4</v>
      </c>
      <c r="L226" s="9">
        <v>0.38551123105000001</v>
      </c>
      <c r="M226">
        <v>409709</v>
      </c>
      <c r="N226">
        <v>480584</v>
      </c>
      <c r="O226" s="9">
        <v>0.45220029207000001</v>
      </c>
      <c r="P226" s="11">
        <f>Telengana_Reaults_2019[[#This Row],[BJP Votes]]-Telengana_Reaults_2019[[#This Row],[Max Votes Other than BJP]]</f>
        <v>70875</v>
      </c>
      <c r="Q226" s="9">
        <f>Telengana_Reaults_2019[[#This Row],[BJP Vote Share]]-Telengana_Reaults_2019[[#This Row],[Max Votes Share other than BJP]]</f>
        <v>6.6689061019999996E-2</v>
      </c>
      <c r="R226">
        <v>1062768</v>
      </c>
      <c r="S226">
        <v>1553385</v>
      </c>
      <c r="T226" s="10">
        <v>0.68416265123999997</v>
      </c>
      <c r="U226" s="1" t="s">
        <v>26</v>
      </c>
    </row>
    <row r="227" spans="1:21" x14ac:dyDescent="0.35">
      <c r="A227" s="1" t="s">
        <v>18</v>
      </c>
      <c r="B227" s="1" t="s">
        <v>19</v>
      </c>
      <c r="C227" s="1" t="s">
        <v>140</v>
      </c>
      <c r="D227" s="1" t="s">
        <v>492</v>
      </c>
      <c r="E227" s="1" t="s">
        <v>21</v>
      </c>
      <c r="F227" s="1" t="s">
        <v>205</v>
      </c>
      <c r="G227" s="1" t="s">
        <v>112</v>
      </c>
      <c r="H227" s="1" t="s">
        <v>53</v>
      </c>
      <c r="I227" s="1" t="s">
        <v>493</v>
      </c>
      <c r="J227">
        <v>114</v>
      </c>
      <c r="K227" s="9">
        <v>1.0726706111E-4</v>
      </c>
      <c r="L227" s="9">
        <v>0.38551123105000001</v>
      </c>
      <c r="M227">
        <v>409709</v>
      </c>
      <c r="N227">
        <v>480584</v>
      </c>
      <c r="O227" s="9">
        <v>0.45220029207000001</v>
      </c>
      <c r="P227" s="11">
        <f>Telengana_Reaults_2019[[#This Row],[BJP Votes]]-Telengana_Reaults_2019[[#This Row],[Max Votes Other than BJP]]</f>
        <v>70875</v>
      </c>
      <c r="Q227" s="9">
        <f>Telengana_Reaults_2019[[#This Row],[BJP Vote Share]]-Telengana_Reaults_2019[[#This Row],[Max Votes Share other than BJP]]</f>
        <v>6.6689061019999996E-2</v>
      </c>
      <c r="R227">
        <v>1062768</v>
      </c>
      <c r="S227">
        <v>1553385</v>
      </c>
      <c r="T227" s="10">
        <v>0.68416265123999997</v>
      </c>
      <c r="U227" s="1" t="s">
        <v>26</v>
      </c>
    </row>
    <row r="228" spans="1:21" x14ac:dyDescent="0.35">
      <c r="A228" s="1" t="s">
        <v>18</v>
      </c>
      <c r="B228" s="1" t="s">
        <v>19</v>
      </c>
      <c r="C228" s="1" t="s">
        <v>140</v>
      </c>
      <c r="D228" s="1" t="s">
        <v>494</v>
      </c>
      <c r="E228" s="1" t="s">
        <v>21</v>
      </c>
      <c r="F228" s="1" t="s">
        <v>106</v>
      </c>
      <c r="G228" s="1" t="s">
        <v>112</v>
      </c>
      <c r="H228" s="1" t="s">
        <v>53</v>
      </c>
      <c r="I228" s="1" t="s">
        <v>495</v>
      </c>
      <c r="J228">
        <v>196</v>
      </c>
      <c r="K228" s="9">
        <v>1.8442406997999999E-4</v>
      </c>
      <c r="L228" s="9">
        <v>0.38551123105000001</v>
      </c>
      <c r="M228">
        <v>409709</v>
      </c>
      <c r="N228">
        <v>480584</v>
      </c>
      <c r="O228" s="9">
        <v>0.45220029207000001</v>
      </c>
      <c r="P228" s="11">
        <f>Telengana_Reaults_2019[[#This Row],[BJP Votes]]-Telengana_Reaults_2019[[#This Row],[Max Votes Other than BJP]]</f>
        <v>70875</v>
      </c>
      <c r="Q228" s="9">
        <f>Telengana_Reaults_2019[[#This Row],[BJP Vote Share]]-Telengana_Reaults_2019[[#This Row],[Max Votes Share other than BJP]]</f>
        <v>6.6689061019999996E-2</v>
      </c>
      <c r="R228">
        <v>1062768</v>
      </c>
      <c r="S228">
        <v>1553385</v>
      </c>
      <c r="T228" s="10">
        <v>0.68416265123999997</v>
      </c>
      <c r="U228" s="1" t="s">
        <v>26</v>
      </c>
    </row>
    <row r="229" spans="1:21" x14ac:dyDescent="0.35">
      <c r="A229" s="1" t="s">
        <v>18</v>
      </c>
      <c r="B229" s="1" t="s">
        <v>19</v>
      </c>
      <c r="C229" s="1" t="s">
        <v>140</v>
      </c>
      <c r="D229" s="1" t="s">
        <v>496</v>
      </c>
      <c r="E229" s="1" t="s">
        <v>21</v>
      </c>
      <c r="F229" s="1" t="s">
        <v>91</v>
      </c>
      <c r="G229" s="1" t="s">
        <v>112</v>
      </c>
      <c r="H229" s="1" t="s">
        <v>53</v>
      </c>
      <c r="I229" s="1" t="s">
        <v>497</v>
      </c>
      <c r="J229">
        <v>84</v>
      </c>
      <c r="K229" s="9">
        <v>7.9038887132000006E-5</v>
      </c>
      <c r="L229" s="9">
        <v>0.38551123105000001</v>
      </c>
      <c r="M229">
        <v>409709</v>
      </c>
      <c r="N229">
        <v>480584</v>
      </c>
      <c r="O229" s="9">
        <v>0.45220029207000001</v>
      </c>
      <c r="P229" s="11">
        <f>Telengana_Reaults_2019[[#This Row],[BJP Votes]]-Telengana_Reaults_2019[[#This Row],[Max Votes Other than BJP]]</f>
        <v>70875</v>
      </c>
      <c r="Q229" s="9">
        <f>Telengana_Reaults_2019[[#This Row],[BJP Vote Share]]-Telengana_Reaults_2019[[#This Row],[Max Votes Share other than BJP]]</f>
        <v>6.6689061019999996E-2</v>
      </c>
      <c r="R229">
        <v>1062768</v>
      </c>
      <c r="S229">
        <v>1553385</v>
      </c>
      <c r="T229" s="10">
        <v>0.68416265123999997</v>
      </c>
      <c r="U229" s="1" t="s">
        <v>26</v>
      </c>
    </row>
    <row r="230" spans="1:21" x14ac:dyDescent="0.35">
      <c r="A230" s="1" t="s">
        <v>18</v>
      </c>
      <c r="B230" s="1" t="s">
        <v>19</v>
      </c>
      <c r="C230" s="1" t="s">
        <v>140</v>
      </c>
      <c r="D230" s="1" t="s">
        <v>498</v>
      </c>
      <c r="E230" s="1" t="s">
        <v>21</v>
      </c>
      <c r="F230" s="1" t="s">
        <v>36</v>
      </c>
      <c r="G230" s="1" t="s">
        <v>112</v>
      </c>
      <c r="H230" s="1" t="s">
        <v>53</v>
      </c>
      <c r="I230" s="1" t="s">
        <v>85</v>
      </c>
      <c r="J230">
        <v>126</v>
      </c>
      <c r="K230" s="9">
        <v>1.185583307E-4</v>
      </c>
      <c r="L230" s="9">
        <v>0.38551123105000001</v>
      </c>
      <c r="M230">
        <v>409709</v>
      </c>
      <c r="N230">
        <v>480584</v>
      </c>
      <c r="O230" s="9">
        <v>0.45220029207000001</v>
      </c>
      <c r="P230" s="11">
        <f>Telengana_Reaults_2019[[#This Row],[BJP Votes]]-Telengana_Reaults_2019[[#This Row],[Max Votes Other than BJP]]</f>
        <v>70875</v>
      </c>
      <c r="Q230" s="9">
        <f>Telengana_Reaults_2019[[#This Row],[BJP Vote Share]]-Telengana_Reaults_2019[[#This Row],[Max Votes Share other than BJP]]</f>
        <v>6.6689061019999996E-2</v>
      </c>
      <c r="R230">
        <v>1062768</v>
      </c>
      <c r="S230">
        <v>1553385</v>
      </c>
      <c r="T230" s="10">
        <v>0.68416265123999997</v>
      </c>
      <c r="U230" s="1" t="s">
        <v>26</v>
      </c>
    </row>
    <row r="231" spans="1:21" x14ac:dyDescent="0.35">
      <c r="A231" s="1" t="s">
        <v>18</v>
      </c>
      <c r="B231" s="1" t="s">
        <v>19</v>
      </c>
      <c r="C231" s="1" t="s">
        <v>140</v>
      </c>
      <c r="D231" s="1" t="s">
        <v>499</v>
      </c>
      <c r="E231" s="1" t="s">
        <v>21</v>
      </c>
      <c r="F231" s="1" t="s">
        <v>56</v>
      </c>
      <c r="G231" s="1" t="s">
        <v>112</v>
      </c>
      <c r="H231" s="1" t="s">
        <v>53</v>
      </c>
      <c r="I231" s="1" t="s">
        <v>500</v>
      </c>
      <c r="J231">
        <v>206</v>
      </c>
      <c r="K231" s="9">
        <v>1.9383346129999999E-4</v>
      </c>
      <c r="L231" s="9">
        <v>0.38551123105000001</v>
      </c>
      <c r="M231">
        <v>409709</v>
      </c>
      <c r="N231">
        <v>480584</v>
      </c>
      <c r="O231" s="9">
        <v>0.45220029207000001</v>
      </c>
      <c r="P231" s="11">
        <f>Telengana_Reaults_2019[[#This Row],[BJP Votes]]-Telengana_Reaults_2019[[#This Row],[Max Votes Other than BJP]]</f>
        <v>70875</v>
      </c>
      <c r="Q231" s="9">
        <f>Telengana_Reaults_2019[[#This Row],[BJP Vote Share]]-Telengana_Reaults_2019[[#This Row],[Max Votes Share other than BJP]]</f>
        <v>6.6689061019999996E-2</v>
      </c>
      <c r="R231">
        <v>1062768</v>
      </c>
      <c r="S231">
        <v>1553385</v>
      </c>
      <c r="T231" s="10">
        <v>0.68416265123999997</v>
      </c>
      <c r="U231" s="1" t="s">
        <v>26</v>
      </c>
    </row>
    <row r="232" spans="1:21" x14ac:dyDescent="0.35">
      <c r="A232" s="1" t="s">
        <v>18</v>
      </c>
      <c r="B232" s="1" t="s">
        <v>19</v>
      </c>
      <c r="C232" s="1" t="s">
        <v>140</v>
      </c>
      <c r="D232" s="1" t="s">
        <v>501</v>
      </c>
      <c r="E232" s="1" t="s">
        <v>21</v>
      </c>
      <c r="F232" s="1" t="s">
        <v>95</v>
      </c>
      <c r="G232" s="1" t="s">
        <v>67</v>
      </c>
      <c r="H232" s="1" t="s">
        <v>53</v>
      </c>
      <c r="I232" s="1" t="s">
        <v>502</v>
      </c>
      <c r="J232">
        <v>315</v>
      </c>
      <c r="K232" s="9">
        <v>2.9639582674999997E-4</v>
      </c>
      <c r="L232" s="9">
        <v>0.38551123105000001</v>
      </c>
      <c r="M232">
        <v>409709</v>
      </c>
      <c r="N232">
        <v>480584</v>
      </c>
      <c r="O232" s="9">
        <v>0.45220029207000001</v>
      </c>
      <c r="P232" s="11">
        <f>Telengana_Reaults_2019[[#This Row],[BJP Votes]]-Telengana_Reaults_2019[[#This Row],[Max Votes Other than BJP]]</f>
        <v>70875</v>
      </c>
      <c r="Q232" s="9">
        <f>Telengana_Reaults_2019[[#This Row],[BJP Vote Share]]-Telengana_Reaults_2019[[#This Row],[Max Votes Share other than BJP]]</f>
        <v>6.6689061019999996E-2</v>
      </c>
      <c r="R232">
        <v>1062768</v>
      </c>
      <c r="S232">
        <v>1553385</v>
      </c>
      <c r="T232" s="10">
        <v>0.68416265123999997</v>
      </c>
      <c r="U232" s="1" t="s">
        <v>26</v>
      </c>
    </row>
    <row r="233" spans="1:21" x14ac:dyDescent="0.35">
      <c r="A233" s="1" t="s">
        <v>18</v>
      </c>
      <c r="B233" s="1" t="s">
        <v>19</v>
      </c>
      <c r="C233" s="1" t="s">
        <v>140</v>
      </c>
      <c r="D233" s="1" t="s">
        <v>64</v>
      </c>
      <c r="E233" s="1" t="s">
        <v>64</v>
      </c>
      <c r="F233" s="1" t="s">
        <v>64</v>
      </c>
      <c r="G233" s="1" t="s">
        <v>64</v>
      </c>
      <c r="H233" s="1" t="s">
        <v>64</v>
      </c>
      <c r="I233" s="1" t="s">
        <v>64</v>
      </c>
      <c r="J233">
        <v>2031</v>
      </c>
      <c r="K233" s="9">
        <v>1.9110473782000001E-3</v>
      </c>
      <c r="L233" s="9">
        <v>0.38551123105000001</v>
      </c>
      <c r="M233">
        <v>409709</v>
      </c>
      <c r="N233">
        <v>480584</v>
      </c>
      <c r="O233" s="9">
        <v>0.45220029207000001</v>
      </c>
      <c r="P233" s="11">
        <f>Telengana_Reaults_2019[[#This Row],[BJP Votes]]-Telengana_Reaults_2019[[#This Row],[Max Votes Other than BJP]]</f>
        <v>70875</v>
      </c>
      <c r="Q233" s="9">
        <f>Telengana_Reaults_2019[[#This Row],[BJP Vote Share]]-Telengana_Reaults_2019[[#This Row],[Max Votes Share other than BJP]]</f>
        <v>6.6689061019999996E-2</v>
      </c>
      <c r="R233">
        <v>1062768</v>
      </c>
      <c r="S233">
        <v>1553385</v>
      </c>
      <c r="T233" s="10">
        <v>0.68416265123999997</v>
      </c>
      <c r="U233" s="1" t="s">
        <v>26</v>
      </c>
    </row>
    <row r="234" spans="1:21" x14ac:dyDescent="0.35">
      <c r="A234" s="1" t="s">
        <v>18</v>
      </c>
      <c r="B234" s="1" t="s">
        <v>19</v>
      </c>
      <c r="C234" s="1" t="s">
        <v>503</v>
      </c>
      <c r="D234" s="1" t="s">
        <v>504</v>
      </c>
      <c r="E234" s="1" t="s">
        <v>21</v>
      </c>
      <c r="F234" s="1" t="s">
        <v>87</v>
      </c>
      <c r="G234" s="1" t="s">
        <v>112</v>
      </c>
      <c r="H234" s="1" t="s">
        <v>24</v>
      </c>
      <c r="I234" s="1" t="s">
        <v>25</v>
      </c>
      <c r="J234">
        <v>434244</v>
      </c>
      <c r="K234" s="9">
        <v>0.41579715903999998</v>
      </c>
      <c r="L234" s="9">
        <v>0.41579715903999998</v>
      </c>
      <c r="M234">
        <v>434244</v>
      </c>
      <c r="N234">
        <v>138947</v>
      </c>
      <c r="O234" s="9">
        <v>0.13304448157000001</v>
      </c>
      <c r="P234" s="11">
        <f>Telengana_Reaults_2019[[#This Row],[BJP Votes]]-Telengana_Reaults_2019[[#This Row],[Max Votes Other than BJP]]</f>
        <v>-295297</v>
      </c>
      <c r="Q234" s="9">
        <f>Telengana_Reaults_2019[[#This Row],[BJP Vote Share]]-Telengana_Reaults_2019[[#This Row],[Max Votes Share other than BJP]]</f>
        <v>-0.28275267746999999</v>
      </c>
      <c r="R234">
        <v>1044365</v>
      </c>
      <c r="S234">
        <v>1498666</v>
      </c>
      <c r="T234" s="10">
        <v>0.69686307690000004</v>
      </c>
      <c r="U234" s="1" t="s">
        <v>68</v>
      </c>
    </row>
    <row r="235" spans="1:21" x14ac:dyDescent="0.35">
      <c r="A235" s="1" t="s">
        <v>18</v>
      </c>
      <c r="B235" s="1" t="s">
        <v>19</v>
      </c>
      <c r="C235" s="1" t="s">
        <v>503</v>
      </c>
      <c r="D235" s="1" t="s">
        <v>505</v>
      </c>
      <c r="E235" s="1" t="s">
        <v>21</v>
      </c>
      <c r="F235" s="1" t="s">
        <v>59</v>
      </c>
      <c r="G235" s="1" t="s">
        <v>112</v>
      </c>
      <c r="H235" s="1" t="s">
        <v>32</v>
      </c>
      <c r="I235" s="1" t="s">
        <v>33</v>
      </c>
      <c r="J235">
        <v>138947</v>
      </c>
      <c r="K235" s="9">
        <v>0.13304448157000001</v>
      </c>
      <c r="L235" s="9">
        <v>0.41579715903999998</v>
      </c>
      <c r="M235">
        <v>434244</v>
      </c>
      <c r="N235">
        <v>138947</v>
      </c>
      <c r="O235" s="9">
        <v>0.13304448157000001</v>
      </c>
      <c r="P235" s="11">
        <f>Telengana_Reaults_2019[[#This Row],[BJP Votes]]-Telengana_Reaults_2019[[#This Row],[Max Votes Other than BJP]]</f>
        <v>-295297</v>
      </c>
      <c r="Q235" s="9">
        <f>Telengana_Reaults_2019[[#This Row],[BJP Vote Share]]-Telengana_Reaults_2019[[#This Row],[Max Votes Share other than BJP]]</f>
        <v>-0.28275267746999999</v>
      </c>
      <c r="R235">
        <v>1044365</v>
      </c>
      <c r="S235">
        <v>1498666</v>
      </c>
      <c r="T235" s="10">
        <v>0.69686307690000004</v>
      </c>
      <c r="U235" s="1" t="s">
        <v>68</v>
      </c>
    </row>
    <row r="236" spans="1:21" x14ac:dyDescent="0.35">
      <c r="A236" s="1" t="s">
        <v>18</v>
      </c>
      <c r="B236" s="1" t="s">
        <v>19</v>
      </c>
      <c r="C236" s="1" t="s">
        <v>503</v>
      </c>
      <c r="D236" s="1" t="s">
        <v>506</v>
      </c>
      <c r="E236" s="1" t="s">
        <v>21</v>
      </c>
      <c r="F236" s="1" t="s">
        <v>234</v>
      </c>
      <c r="G236" s="1" t="s">
        <v>112</v>
      </c>
      <c r="H236" s="1" t="s">
        <v>29</v>
      </c>
      <c r="I236" s="1" t="s">
        <v>30</v>
      </c>
      <c r="J236">
        <v>428015</v>
      </c>
      <c r="K236" s="9">
        <v>0.40983276919</v>
      </c>
      <c r="L236" s="9">
        <v>0.41579715903999998</v>
      </c>
      <c r="M236">
        <v>434244</v>
      </c>
      <c r="N236">
        <v>138947</v>
      </c>
      <c r="O236" s="9">
        <v>0.13304448157000001</v>
      </c>
      <c r="P236" s="11">
        <f>Telengana_Reaults_2019[[#This Row],[BJP Votes]]-Telengana_Reaults_2019[[#This Row],[Max Votes Other than BJP]]</f>
        <v>-295297</v>
      </c>
      <c r="Q236" s="9">
        <f>Telengana_Reaults_2019[[#This Row],[BJP Vote Share]]-Telengana_Reaults_2019[[#This Row],[Max Votes Share other than BJP]]</f>
        <v>-0.28275267746999999</v>
      </c>
      <c r="R236">
        <v>1044365</v>
      </c>
      <c r="S236">
        <v>1498666</v>
      </c>
      <c r="T236" s="10">
        <v>0.69686307690000004</v>
      </c>
      <c r="U236" s="1" t="s">
        <v>68</v>
      </c>
    </row>
    <row r="237" spans="1:21" x14ac:dyDescent="0.35">
      <c r="A237" s="1" t="s">
        <v>18</v>
      </c>
      <c r="B237" s="1" t="s">
        <v>19</v>
      </c>
      <c r="C237" s="1" t="s">
        <v>503</v>
      </c>
      <c r="D237" s="1" t="s">
        <v>507</v>
      </c>
      <c r="E237" s="1" t="s">
        <v>21</v>
      </c>
      <c r="F237" s="1" t="s">
        <v>106</v>
      </c>
      <c r="G237" s="1" t="s">
        <v>67</v>
      </c>
      <c r="H237" s="1" t="s">
        <v>150</v>
      </c>
      <c r="I237" s="1" t="s">
        <v>151</v>
      </c>
      <c r="J237">
        <v>6366</v>
      </c>
      <c r="K237" s="9">
        <v>6.0955700353999996E-3</v>
      </c>
      <c r="L237" s="9">
        <v>0.41579715903999998</v>
      </c>
      <c r="M237">
        <v>434244</v>
      </c>
      <c r="N237">
        <v>138947</v>
      </c>
      <c r="O237" s="9">
        <v>0.13304448157000001</v>
      </c>
      <c r="P237" s="11">
        <f>Telengana_Reaults_2019[[#This Row],[BJP Votes]]-Telengana_Reaults_2019[[#This Row],[Max Votes Other than BJP]]</f>
        <v>-295297</v>
      </c>
      <c r="Q237" s="9">
        <f>Telengana_Reaults_2019[[#This Row],[BJP Vote Share]]-Telengana_Reaults_2019[[#This Row],[Max Votes Share other than BJP]]</f>
        <v>-0.28275267746999999</v>
      </c>
      <c r="R237">
        <v>1044365</v>
      </c>
      <c r="S237">
        <v>1498666</v>
      </c>
      <c r="T237" s="10">
        <v>0.69686307690000004</v>
      </c>
      <c r="U237" s="1" t="s">
        <v>68</v>
      </c>
    </row>
    <row r="238" spans="1:21" x14ac:dyDescent="0.35">
      <c r="A238" s="1" t="s">
        <v>18</v>
      </c>
      <c r="B238" s="1" t="s">
        <v>19</v>
      </c>
      <c r="C238" s="1" t="s">
        <v>503</v>
      </c>
      <c r="D238" s="1" t="s">
        <v>508</v>
      </c>
      <c r="E238" s="1" t="s">
        <v>21</v>
      </c>
      <c r="F238" s="1" t="s">
        <v>234</v>
      </c>
      <c r="G238" s="1" t="s">
        <v>112</v>
      </c>
      <c r="H238" s="1" t="s">
        <v>509</v>
      </c>
      <c r="I238" s="1" t="s">
        <v>102</v>
      </c>
      <c r="J238">
        <v>6339</v>
      </c>
      <c r="K238" s="9">
        <v>6.0697170050999999E-3</v>
      </c>
      <c r="L238" s="9">
        <v>0.41579715903999998</v>
      </c>
      <c r="M238">
        <v>434244</v>
      </c>
      <c r="N238">
        <v>138947</v>
      </c>
      <c r="O238" s="9">
        <v>0.13304448157000001</v>
      </c>
      <c r="P238" s="11">
        <f>Telengana_Reaults_2019[[#This Row],[BJP Votes]]-Telengana_Reaults_2019[[#This Row],[Max Votes Other than BJP]]</f>
        <v>-295297</v>
      </c>
      <c r="Q238" s="9">
        <f>Telengana_Reaults_2019[[#This Row],[BJP Vote Share]]-Telengana_Reaults_2019[[#This Row],[Max Votes Share other than BJP]]</f>
        <v>-0.28275267746999999</v>
      </c>
      <c r="R238">
        <v>1044365</v>
      </c>
      <c r="S238">
        <v>1498666</v>
      </c>
      <c r="T238" s="10">
        <v>0.69686307690000004</v>
      </c>
      <c r="U238" s="1" t="s">
        <v>68</v>
      </c>
    </row>
    <row r="239" spans="1:21" x14ac:dyDescent="0.35">
      <c r="A239" s="1" t="s">
        <v>18</v>
      </c>
      <c r="B239" s="1" t="s">
        <v>19</v>
      </c>
      <c r="C239" s="1" t="s">
        <v>503</v>
      </c>
      <c r="D239" s="1" t="s">
        <v>510</v>
      </c>
      <c r="E239" s="1" t="s">
        <v>21</v>
      </c>
      <c r="F239" s="1" t="s">
        <v>48</v>
      </c>
      <c r="G239" s="1" t="s">
        <v>67</v>
      </c>
      <c r="H239" s="1" t="s">
        <v>84</v>
      </c>
      <c r="I239" s="1" t="s">
        <v>85</v>
      </c>
      <c r="J239">
        <v>1573</v>
      </c>
      <c r="K239" s="9">
        <v>1.5061783955000001E-3</v>
      </c>
      <c r="L239" s="9">
        <v>0.41579715903999998</v>
      </c>
      <c r="M239">
        <v>434244</v>
      </c>
      <c r="N239">
        <v>138947</v>
      </c>
      <c r="O239" s="9">
        <v>0.13304448157000001</v>
      </c>
      <c r="P239" s="11">
        <f>Telengana_Reaults_2019[[#This Row],[BJP Votes]]-Telengana_Reaults_2019[[#This Row],[Max Votes Other than BJP]]</f>
        <v>-295297</v>
      </c>
      <c r="Q239" s="9">
        <f>Telengana_Reaults_2019[[#This Row],[BJP Vote Share]]-Telengana_Reaults_2019[[#This Row],[Max Votes Share other than BJP]]</f>
        <v>-0.28275267746999999</v>
      </c>
      <c r="R239">
        <v>1044365</v>
      </c>
      <c r="S239">
        <v>1498666</v>
      </c>
      <c r="T239" s="10">
        <v>0.69686307690000004</v>
      </c>
      <c r="U239" s="1" t="s">
        <v>68</v>
      </c>
    </row>
    <row r="240" spans="1:21" x14ac:dyDescent="0.35">
      <c r="A240" s="1" t="s">
        <v>18</v>
      </c>
      <c r="B240" s="1" t="s">
        <v>19</v>
      </c>
      <c r="C240" s="1" t="s">
        <v>503</v>
      </c>
      <c r="D240" s="1" t="s">
        <v>511</v>
      </c>
      <c r="E240" s="1" t="s">
        <v>21</v>
      </c>
      <c r="F240" s="1" t="s">
        <v>48</v>
      </c>
      <c r="G240" s="1" t="s">
        <v>112</v>
      </c>
      <c r="H240" s="1" t="s">
        <v>512</v>
      </c>
      <c r="I240" s="1" t="s">
        <v>291</v>
      </c>
      <c r="J240">
        <v>1712</v>
      </c>
      <c r="K240" s="9">
        <v>1.6392736256000001E-3</v>
      </c>
      <c r="L240" s="9">
        <v>0.41579715903999998</v>
      </c>
      <c r="M240">
        <v>434244</v>
      </c>
      <c r="N240">
        <v>138947</v>
      </c>
      <c r="O240" s="9">
        <v>0.13304448157000001</v>
      </c>
      <c r="P240" s="11">
        <f>Telengana_Reaults_2019[[#This Row],[BJP Votes]]-Telengana_Reaults_2019[[#This Row],[Max Votes Other than BJP]]</f>
        <v>-295297</v>
      </c>
      <c r="Q240" s="9">
        <f>Telengana_Reaults_2019[[#This Row],[BJP Vote Share]]-Telengana_Reaults_2019[[#This Row],[Max Votes Share other than BJP]]</f>
        <v>-0.28275267746999999</v>
      </c>
      <c r="R240">
        <v>1044365</v>
      </c>
      <c r="S240">
        <v>1498666</v>
      </c>
      <c r="T240" s="10">
        <v>0.69686307690000004</v>
      </c>
      <c r="U240" s="1" t="s">
        <v>68</v>
      </c>
    </row>
    <row r="241" spans="1:21" x14ac:dyDescent="0.35">
      <c r="A241" s="1" t="s">
        <v>18</v>
      </c>
      <c r="B241" s="1" t="s">
        <v>19</v>
      </c>
      <c r="C241" s="1" t="s">
        <v>503</v>
      </c>
      <c r="D241" s="1" t="s">
        <v>513</v>
      </c>
      <c r="E241" s="1" t="s">
        <v>21</v>
      </c>
      <c r="F241" s="1" t="s">
        <v>71</v>
      </c>
      <c r="G241" s="1" t="s">
        <v>112</v>
      </c>
      <c r="H241" s="1" t="s">
        <v>77</v>
      </c>
      <c r="I241" s="1" t="s">
        <v>78</v>
      </c>
      <c r="J241">
        <v>1279</v>
      </c>
      <c r="K241" s="9">
        <v>1.2246676209999999E-3</v>
      </c>
      <c r="L241" s="9">
        <v>0.41579715903999998</v>
      </c>
      <c r="M241">
        <v>434244</v>
      </c>
      <c r="N241">
        <v>138947</v>
      </c>
      <c r="O241" s="9">
        <v>0.13304448157000001</v>
      </c>
      <c r="P241" s="11">
        <f>Telengana_Reaults_2019[[#This Row],[BJP Votes]]-Telengana_Reaults_2019[[#This Row],[Max Votes Other than BJP]]</f>
        <v>-295297</v>
      </c>
      <c r="Q241" s="9">
        <f>Telengana_Reaults_2019[[#This Row],[BJP Vote Share]]-Telengana_Reaults_2019[[#This Row],[Max Votes Share other than BJP]]</f>
        <v>-0.28275267746999999</v>
      </c>
      <c r="R241">
        <v>1044365</v>
      </c>
      <c r="S241">
        <v>1498666</v>
      </c>
      <c r="T241" s="10">
        <v>0.69686307690000004</v>
      </c>
      <c r="U241" s="1" t="s">
        <v>68</v>
      </c>
    </row>
    <row r="242" spans="1:21" x14ac:dyDescent="0.35">
      <c r="A242" s="1" t="s">
        <v>18</v>
      </c>
      <c r="B242" s="1" t="s">
        <v>19</v>
      </c>
      <c r="C242" s="1" t="s">
        <v>503</v>
      </c>
      <c r="D242" s="1" t="s">
        <v>514</v>
      </c>
      <c r="E242" s="1" t="s">
        <v>35</v>
      </c>
      <c r="F242" s="1" t="s">
        <v>117</v>
      </c>
      <c r="G242" s="1" t="s">
        <v>112</v>
      </c>
      <c r="H242" s="1" t="s">
        <v>53</v>
      </c>
      <c r="I242" s="1" t="s">
        <v>54</v>
      </c>
      <c r="J242">
        <v>1869</v>
      </c>
      <c r="K242" s="9">
        <v>1.7896042093000001E-3</v>
      </c>
      <c r="L242" s="9">
        <v>0.41579715903999998</v>
      </c>
      <c r="M242">
        <v>434244</v>
      </c>
      <c r="N242">
        <v>138947</v>
      </c>
      <c r="O242" s="9">
        <v>0.13304448157000001</v>
      </c>
      <c r="P242" s="11">
        <f>Telengana_Reaults_2019[[#This Row],[BJP Votes]]-Telengana_Reaults_2019[[#This Row],[Max Votes Other than BJP]]</f>
        <v>-295297</v>
      </c>
      <c r="Q242" s="9">
        <f>Telengana_Reaults_2019[[#This Row],[BJP Vote Share]]-Telengana_Reaults_2019[[#This Row],[Max Votes Share other than BJP]]</f>
        <v>-0.28275267746999999</v>
      </c>
      <c r="R242">
        <v>1044365</v>
      </c>
      <c r="S242">
        <v>1498666</v>
      </c>
      <c r="T242" s="10">
        <v>0.69686307690000004</v>
      </c>
      <c r="U242" s="1" t="s">
        <v>68</v>
      </c>
    </row>
    <row r="243" spans="1:21" x14ac:dyDescent="0.35">
      <c r="A243" s="1" t="s">
        <v>18</v>
      </c>
      <c r="B243" s="1" t="s">
        <v>19</v>
      </c>
      <c r="C243" s="1" t="s">
        <v>503</v>
      </c>
      <c r="D243" s="1" t="s">
        <v>515</v>
      </c>
      <c r="E243" s="1" t="s">
        <v>21</v>
      </c>
      <c r="F243" s="1" t="s">
        <v>234</v>
      </c>
      <c r="G243" s="1" t="s">
        <v>112</v>
      </c>
      <c r="H243" s="1" t="s">
        <v>53</v>
      </c>
      <c r="I243" s="1" t="s">
        <v>286</v>
      </c>
      <c r="J243">
        <v>3281</v>
      </c>
      <c r="K243" s="9">
        <v>3.1416219425000002E-3</v>
      </c>
      <c r="L243" s="9">
        <v>0.41579715903999998</v>
      </c>
      <c r="M243">
        <v>434244</v>
      </c>
      <c r="N243">
        <v>138947</v>
      </c>
      <c r="O243" s="9">
        <v>0.13304448157000001</v>
      </c>
      <c r="P243" s="11">
        <f>Telengana_Reaults_2019[[#This Row],[BJP Votes]]-Telengana_Reaults_2019[[#This Row],[Max Votes Other than BJP]]</f>
        <v>-295297</v>
      </c>
      <c r="Q243" s="9">
        <f>Telengana_Reaults_2019[[#This Row],[BJP Vote Share]]-Telengana_Reaults_2019[[#This Row],[Max Votes Share other than BJP]]</f>
        <v>-0.28275267746999999</v>
      </c>
      <c r="R243">
        <v>1044365</v>
      </c>
      <c r="S243">
        <v>1498666</v>
      </c>
      <c r="T243" s="10">
        <v>0.69686307690000004</v>
      </c>
      <c r="U243" s="1" t="s">
        <v>68</v>
      </c>
    </row>
    <row r="244" spans="1:21" x14ac:dyDescent="0.35">
      <c r="A244" s="1" t="s">
        <v>18</v>
      </c>
      <c r="B244" s="1" t="s">
        <v>19</v>
      </c>
      <c r="C244" s="1" t="s">
        <v>503</v>
      </c>
      <c r="D244" s="1" t="s">
        <v>516</v>
      </c>
      <c r="E244" s="1" t="s">
        <v>21</v>
      </c>
      <c r="F244" s="1" t="s">
        <v>62</v>
      </c>
      <c r="G244" s="1" t="s">
        <v>112</v>
      </c>
      <c r="H244" s="1" t="s">
        <v>53</v>
      </c>
      <c r="I244" s="1" t="s">
        <v>184</v>
      </c>
      <c r="J244">
        <v>5581</v>
      </c>
      <c r="K244" s="9">
        <v>5.3439171170999999E-3</v>
      </c>
      <c r="L244" s="9">
        <v>0.41579715903999998</v>
      </c>
      <c r="M244">
        <v>434244</v>
      </c>
      <c r="N244">
        <v>138947</v>
      </c>
      <c r="O244" s="9">
        <v>0.13304448157000001</v>
      </c>
      <c r="P244" s="11">
        <f>Telengana_Reaults_2019[[#This Row],[BJP Votes]]-Telengana_Reaults_2019[[#This Row],[Max Votes Other than BJP]]</f>
        <v>-295297</v>
      </c>
      <c r="Q244" s="9">
        <f>Telengana_Reaults_2019[[#This Row],[BJP Vote Share]]-Telengana_Reaults_2019[[#This Row],[Max Votes Share other than BJP]]</f>
        <v>-0.28275267746999999</v>
      </c>
      <c r="R244">
        <v>1044365</v>
      </c>
      <c r="S244">
        <v>1498666</v>
      </c>
      <c r="T244" s="10">
        <v>0.69686307690000004</v>
      </c>
      <c r="U244" s="1" t="s">
        <v>68</v>
      </c>
    </row>
    <row r="245" spans="1:21" x14ac:dyDescent="0.35">
      <c r="A245" s="1" t="s">
        <v>18</v>
      </c>
      <c r="B245" s="1" t="s">
        <v>19</v>
      </c>
      <c r="C245" s="1" t="s">
        <v>503</v>
      </c>
      <c r="D245" s="1" t="s">
        <v>517</v>
      </c>
      <c r="E245" s="1" t="s">
        <v>21</v>
      </c>
      <c r="F245" s="1" t="s">
        <v>200</v>
      </c>
      <c r="G245" s="1" t="s">
        <v>112</v>
      </c>
      <c r="H245" s="1" t="s">
        <v>53</v>
      </c>
      <c r="I245" s="1" t="s">
        <v>398</v>
      </c>
      <c r="J245">
        <v>4019</v>
      </c>
      <c r="K245" s="9">
        <v>3.8482714376999998E-3</v>
      </c>
      <c r="L245" s="9">
        <v>0.41579715903999998</v>
      </c>
      <c r="M245">
        <v>434244</v>
      </c>
      <c r="N245">
        <v>138947</v>
      </c>
      <c r="O245" s="9">
        <v>0.13304448157000001</v>
      </c>
      <c r="P245" s="11">
        <f>Telengana_Reaults_2019[[#This Row],[BJP Votes]]-Telengana_Reaults_2019[[#This Row],[Max Votes Other than BJP]]</f>
        <v>-295297</v>
      </c>
      <c r="Q245" s="9">
        <f>Telengana_Reaults_2019[[#This Row],[BJP Vote Share]]-Telengana_Reaults_2019[[#This Row],[Max Votes Share other than BJP]]</f>
        <v>-0.28275267746999999</v>
      </c>
      <c r="R245">
        <v>1044365</v>
      </c>
      <c r="S245">
        <v>1498666</v>
      </c>
      <c r="T245" s="10">
        <v>0.69686307690000004</v>
      </c>
      <c r="U245" s="1" t="s">
        <v>68</v>
      </c>
    </row>
    <row r="246" spans="1:21" x14ac:dyDescent="0.35">
      <c r="A246" s="1" t="s">
        <v>18</v>
      </c>
      <c r="B246" s="1" t="s">
        <v>19</v>
      </c>
      <c r="C246" s="1" t="s">
        <v>503</v>
      </c>
      <c r="D246" s="1" t="s">
        <v>64</v>
      </c>
      <c r="E246" s="1" t="s">
        <v>64</v>
      </c>
      <c r="F246" s="1" t="s">
        <v>64</v>
      </c>
      <c r="G246" s="1" t="s">
        <v>64</v>
      </c>
      <c r="H246" s="1" t="s">
        <v>64</v>
      </c>
      <c r="I246" s="1" t="s">
        <v>64</v>
      </c>
      <c r="J246">
        <v>11140</v>
      </c>
      <c r="K246" s="9">
        <v>1.0666768801999999E-2</v>
      </c>
      <c r="L246" s="9">
        <v>0.41579715903999998</v>
      </c>
      <c r="M246">
        <v>434244</v>
      </c>
      <c r="N246">
        <v>138947</v>
      </c>
      <c r="O246" s="9">
        <v>0.13304448157000001</v>
      </c>
      <c r="P246" s="11">
        <f>Telengana_Reaults_2019[[#This Row],[BJP Votes]]-Telengana_Reaults_2019[[#This Row],[Max Votes Other than BJP]]</f>
        <v>-295297</v>
      </c>
      <c r="Q246" s="9">
        <f>Telengana_Reaults_2019[[#This Row],[BJP Vote Share]]-Telengana_Reaults_2019[[#This Row],[Max Votes Share other than BJP]]</f>
        <v>-0.28275267746999999</v>
      </c>
      <c r="R246">
        <v>1044365</v>
      </c>
      <c r="S246">
        <v>1498666</v>
      </c>
      <c r="T246" s="10">
        <v>0.69686307690000004</v>
      </c>
      <c r="U246" s="1" t="s">
        <v>68</v>
      </c>
    </row>
    <row r="247" spans="1:21" x14ac:dyDescent="0.35">
      <c r="A247" s="1" t="s">
        <v>18</v>
      </c>
      <c r="B247" s="1" t="s">
        <v>19</v>
      </c>
      <c r="C247" s="1" t="s">
        <v>518</v>
      </c>
      <c r="D247" s="1" t="s">
        <v>519</v>
      </c>
      <c r="E247" s="1" t="s">
        <v>21</v>
      </c>
      <c r="F247" s="1" t="s">
        <v>62</v>
      </c>
      <c r="G247" s="1" t="s">
        <v>112</v>
      </c>
      <c r="H247" s="1" t="s">
        <v>29</v>
      </c>
      <c r="I247" s="1" t="s">
        <v>30</v>
      </c>
      <c r="J247">
        <v>279621</v>
      </c>
      <c r="K247" s="9">
        <v>0.24310155509</v>
      </c>
      <c r="L247" s="9">
        <v>0.51820212253999998</v>
      </c>
      <c r="M247">
        <v>596048</v>
      </c>
      <c r="N247">
        <v>201567</v>
      </c>
      <c r="O247" s="9">
        <v>0.17524167053</v>
      </c>
      <c r="P247" s="11">
        <f>Telengana_Reaults_2019[[#This Row],[BJP Votes]]-Telengana_Reaults_2019[[#This Row],[Max Votes Other than BJP]]</f>
        <v>-394481</v>
      </c>
      <c r="Q247" s="9">
        <f>Telengana_Reaults_2019[[#This Row],[BJP Vote Share]]-Telengana_Reaults_2019[[#This Row],[Max Votes Share other than BJP]]</f>
        <v>-0.34296045200999997</v>
      </c>
      <c r="R247">
        <v>1150223</v>
      </c>
      <c r="S247">
        <v>1603318</v>
      </c>
      <c r="T247" s="10">
        <v>0.71740166329999999</v>
      </c>
      <c r="U247" s="1" t="s">
        <v>68</v>
      </c>
    </row>
    <row r="248" spans="1:21" x14ac:dyDescent="0.35">
      <c r="A248" s="1" t="s">
        <v>18</v>
      </c>
      <c r="B248" s="1" t="s">
        <v>19</v>
      </c>
      <c r="C248" s="1" t="s">
        <v>518</v>
      </c>
      <c r="D248" s="1" t="s">
        <v>520</v>
      </c>
      <c r="E248" s="1" t="s">
        <v>21</v>
      </c>
      <c r="F248" s="1" t="s">
        <v>52</v>
      </c>
      <c r="G248" s="1" t="s">
        <v>112</v>
      </c>
      <c r="H248" s="1" t="s">
        <v>24</v>
      </c>
      <c r="I248" s="1" t="s">
        <v>25</v>
      </c>
      <c r="J248">
        <v>596048</v>
      </c>
      <c r="K248" s="9">
        <v>0.51820212253999998</v>
      </c>
      <c r="L248" s="9">
        <v>0.51820212253999998</v>
      </c>
      <c r="M248">
        <v>596048</v>
      </c>
      <c r="N248">
        <v>201567</v>
      </c>
      <c r="O248" s="9">
        <v>0.17524167053</v>
      </c>
      <c r="P248" s="11">
        <f>Telengana_Reaults_2019[[#This Row],[BJP Votes]]-Telengana_Reaults_2019[[#This Row],[Max Votes Other than BJP]]</f>
        <v>-394481</v>
      </c>
      <c r="Q248" s="9">
        <f>Telengana_Reaults_2019[[#This Row],[BJP Vote Share]]-Telengana_Reaults_2019[[#This Row],[Max Votes Share other than BJP]]</f>
        <v>-0.34296045200999997</v>
      </c>
      <c r="R248">
        <v>1150223</v>
      </c>
      <c r="S248">
        <v>1603318</v>
      </c>
      <c r="T248" s="10">
        <v>0.71740166329999999</v>
      </c>
      <c r="U248" s="1" t="s">
        <v>68</v>
      </c>
    </row>
    <row r="249" spans="1:21" x14ac:dyDescent="0.35">
      <c r="A249" s="1" t="s">
        <v>18</v>
      </c>
      <c r="B249" s="1" t="s">
        <v>19</v>
      </c>
      <c r="C249" s="1" t="s">
        <v>518</v>
      </c>
      <c r="D249" s="1" t="s">
        <v>521</v>
      </c>
      <c r="E249" s="1" t="s">
        <v>21</v>
      </c>
      <c r="F249" s="1" t="s">
        <v>22</v>
      </c>
      <c r="G249" s="1" t="s">
        <v>112</v>
      </c>
      <c r="H249" s="1" t="s">
        <v>32</v>
      </c>
      <c r="I249" s="1" t="s">
        <v>33</v>
      </c>
      <c r="J249">
        <v>201567</v>
      </c>
      <c r="K249" s="9">
        <v>0.17524167053</v>
      </c>
      <c r="L249" s="9">
        <v>0.51820212253999998</v>
      </c>
      <c r="M249">
        <v>596048</v>
      </c>
      <c r="N249">
        <v>201567</v>
      </c>
      <c r="O249" s="9">
        <v>0.17524167053</v>
      </c>
      <c r="P249" s="11">
        <f>Telengana_Reaults_2019[[#This Row],[BJP Votes]]-Telengana_Reaults_2019[[#This Row],[Max Votes Other than BJP]]</f>
        <v>-394481</v>
      </c>
      <c r="Q249" s="9">
        <f>Telengana_Reaults_2019[[#This Row],[BJP Vote Share]]-Telengana_Reaults_2019[[#This Row],[Max Votes Share other than BJP]]</f>
        <v>-0.34296045200999997</v>
      </c>
      <c r="R249">
        <v>1150223</v>
      </c>
      <c r="S249">
        <v>1603318</v>
      </c>
      <c r="T249" s="10">
        <v>0.71740166329999999</v>
      </c>
      <c r="U249" s="1" t="s">
        <v>68</v>
      </c>
    </row>
    <row r="250" spans="1:21" x14ac:dyDescent="0.35">
      <c r="A250" s="1" t="s">
        <v>18</v>
      </c>
      <c r="B250" s="1" t="s">
        <v>19</v>
      </c>
      <c r="C250" s="1" t="s">
        <v>518</v>
      </c>
      <c r="D250" s="1" t="s">
        <v>522</v>
      </c>
      <c r="E250" s="1" t="s">
        <v>21</v>
      </c>
      <c r="F250" s="1" t="s">
        <v>75</v>
      </c>
      <c r="G250" s="1" t="s">
        <v>112</v>
      </c>
      <c r="H250" s="1" t="s">
        <v>523</v>
      </c>
      <c r="I250" s="1" t="s">
        <v>167</v>
      </c>
      <c r="J250">
        <v>2445</v>
      </c>
      <c r="K250" s="9">
        <v>2.1256747604999999E-3</v>
      </c>
      <c r="L250" s="9">
        <v>0.51820212253999998</v>
      </c>
      <c r="M250">
        <v>596048</v>
      </c>
      <c r="N250">
        <v>201567</v>
      </c>
      <c r="O250" s="9">
        <v>0.17524167053</v>
      </c>
      <c r="P250" s="11">
        <f>Telengana_Reaults_2019[[#This Row],[BJP Votes]]-Telengana_Reaults_2019[[#This Row],[Max Votes Other than BJP]]</f>
        <v>-394481</v>
      </c>
      <c r="Q250" s="9">
        <f>Telengana_Reaults_2019[[#This Row],[BJP Vote Share]]-Telengana_Reaults_2019[[#This Row],[Max Votes Share other than BJP]]</f>
        <v>-0.34296045200999997</v>
      </c>
      <c r="R250">
        <v>1150223</v>
      </c>
      <c r="S250">
        <v>1603318</v>
      </c>
      <c r="T250" s="10">
        <v>0.71740166329999999</v>
      </c>
      <c r="U250" s="1" t="s">
        <v>68</v>
      </c>
    </row>
    <row r="251" spans="1:21" x14ac:dyDescent="0.35">
      <c r="A251" s="1" t="s">
        <v>18</v>
      </c>
      <c r="B251" s="1" t="s">
        <v>19</v>
      </c>
      <c r="C251" s="1" t="s">
        <v>518</v>
      </c>
      <c r="D251" s="1" t="s">
        <v>524</v>
      </c>
      <c r="E251" s="1" t="s">
        <v>21</v>
      </c>
      <c r="F251" s="1" t="s">
        <v>44</v>
      </c>
      <c r="G251" s="1" t="s">
        <v>112</v>
      </c>
      <c r="H251" s="1" t="s">
        <v>525</v>
      </c>
      <c r="I251" s="1" t="s">
        <v>163</v>
      </c>
      <c r="J251">
        <v>2624</v>
      </c>
      <c r="K251" s="9">
        <v>2.2812967572000001E-3</v>
      </c>
      <c r="L251" s="9">
        <v>0.51820212253999998</v>
      </c>
      <c r="M251">
        <v>596048</v>
      </c>
      <c r="N251">
        <v>201567</v>
      </c>
      <c r="O251" s="9">
        <v>0.17524167053</v>
      </c>
      <c r="P251" s="11">
        <f>Telengana_Reaults_2019[[#This Row],[BJP Votes]]-Telengana_Reaults_2019[[#This Row],[Max Votes Other than BJP]]</f>
        <v>-394481</v>
      </c>
      <c r="Q251" s="9">
        <f>Telengana_Reaults_2019[[#This Row],[BJP Vote Share]]-Telengana_Reaults_2019[[#This Row],[Max Votes Share other than BJP]]</f>
        <v>-0.34296045200999997</v>
      </c>
      <c r="R251">
        <v>1150223</v>
      </c>
      <c r="S251">
        <v>1603318</v>
      </c>
      <c r="T251" s="10">
        <v>0.71740166329999999</v>
      </c>
      <c r="U251" s="1" t="s">
        <v>68</v>
      </c>
    </row>
    <row r="252" spans="1:21" x14ac:dyDescent="0.35">
      <c r="A252" s="1" t="s">
        <v>18</v>
      </c>
      <c r="B252" s="1" t="s">
        <v>19</v>
      </c>
      <c r="C252" s="1" t="s">
        <v>518</v>
      </c>
      <c r="D252" s="1" t="s">
        <v>526</v>
      </c>
      <c r="E252" s="1" t="s">
        <v>21</v>
      </c>
      <c r="F252" s="1" t="s">
        <v>71</v>
      </c>
      <c r="G252" s="1" t="s">
        <v>112</v>
      </c>
      <c r="H252" s="1" t="s">
        <v>77</v>
      </c>
      <c r="I252" s="1" t="s">
        <v>78</v>
      </c>
      <c r="J252">
        <v>1483</v>
      </c>
      <c r="K252" s="9">
        <v>1.2893152024000001E-3</v>
      </c>
      <c r="L252" s="9">
        <v>0.51820212253999998</v>
      </c>
      <c r="M252">
        <v>596048</v>
      </c>
      <c r="N252">
        <v>201567</v>
      </c>
      <c r="O252" s="9">
        <v>0.17524167053</v>
      </c>
      <c r="P252" s="11">
        <f>Telengana_Reaults_2019[[#This Row],[BJP Votes]]-Telengana_Reaults_2019[[#This Row],[Max Votes Other than BJP]]</f>
        <v>-394481</v>
      </c>
      <c r="Q252" s="9">
        <f>Telengana_Reaults_2019[[#This Row],[BJP Vote Share]]-Telengana_Reaults_2019[[#This Row],[Max Votes Share other than BJP]]</f>
        <v>-0.34296045200999997</v>
      </c>
      <c r="R252">
        <v>1150223</v>
      </c>
      <c r="S252">
        <v>1603318</v>
      </c>
      <c r="T252" s="10">
        <v>0.71740166329999999</v>
      </c>
      <c r="U252" s="1" t="s">
        <v>68</v>
      </c>
    </row>
    <row r="253" spans="1:21" x14ac:dyDescent="0.35">
      <c r="A253" s="1" t="s">
        <v>18</v>
      </c>
      <c r="B253" s="1" t="s">
        <v>19</v>
      </c>
      <c r="C253" s="1" t="s">
        <v>518</v>
      </c>
      <c r="D253" s="1" t="s">
        <v>527</v>
      </c>
      <c r="E253" s="1" t="s">
        <v>21</v>
      </c>
      <c r="F253" s="1" t="s">
        <v>28</v>
      </c>
      <c r="G253" s="1" t="s">
        <v>112</v>
      </c>
      <c r="H253" s="1" t="s">
        <v>53</v>
      </c>
      <c r="I253" s="1" t="s">
        <v>38</v>
      </c>
      <c r="J253">
        <v>3523</v>
      </c>
      <c r="K253" s="9">
        <v>3.0628843276000002E-3</v>
      </c>
      <c r="L253" s="9">
        <v>0.51820212253999998</v>
      </c>
      <c r="M253">
        <v>596048</v>
      </c>
      <c r="N253">
        <v>201567</v>
      </c>
      <c r="O253" s="9">
        <v>0.17524167053</v>
      </c>
      <c r="P253" s="11">
        <f>Telengana_Reaults_2019[[#This Row],[BJP Votes]]-Telengana_Reaults_2019[[#This Row],[Max Votes Other than BJP]]</f>
        <v>-394481</v>
      </c>
      <c r="Q253" s="9">
        <f>Telengana_Reaults_2019[[#This Row],[BJP Vote Share]]-Telengana_Reaults_2019[[#This Row],[Max Votes Share other than BJP]]</f>
        <v>-0.34296045200999997</v>
      </c>
      <c r="R253">
        <v>1150223</v>
      </c>
      <c r="S253">
        <v>1603318</v>
      </c>
      <c r="T253" s="10">
        <v>0.71740166329999999</v>
      </c>
      <c r="U253" s="1" t="s">
        <v>68</v>
      </c>
    </row>
    <row r="254" spans="1:21" x14ac:dyDescent="0.35">
      <c r="A254" s="1" t="s">
        <v>18</v>
      </c>
      <c r="B254" s="1" t="s">
        <v>19</v>
      </c>
      <c r="C254" s="1" t="s">
        <v>518</v>
      </c>
      <c r="D254" s="1" t="s">
        <v>528</v>
      </c>
      <c r="E254" s="1" t="s">
        <v>21</v>
      </c>
      <c r="F254" s="1" t="s">
        <v>145</v>
      </c>
      <c r="G254" s="1" t="s">
        <v>112</v>
      </c>
      <c r="H254" s="1" t="s">
        <v>53</v>
      </c>
      <c r="I254" s="1" t="s">
        <v>184</v>
      </c>
      <c r="J254">
        <v>14711</v>
      </c>
      <c r="K254" s="9">
        <v>1.2789693825E-2</v>
      </c>
      <c r="L254" s="9">
        <v>0.51820212253999998</v>
      </c>
      <c r="M254">
        <v>596048</v>
      </c>
      <c r="N254">
        <v>201567</v>
      </c>
      <c r="O254" s="9">
        <v>0.17524167053</v>
      </c>
      <c r="P254" s="11">
        <f>Telengana_Reaults_2019[[#This Row],[BJP Votes]]-Telengana_Reaults_2019[[#This Row],[Max Votes Other than BJP]]</f>
        <v>-394481</v>
      </c>
      <c r="Q254" s="9">
        <f>Telengana_Reaults_2019[[#This Row],[BJP Vote Share]]-Telengana_Reaults_2019[[#This Row],[Max Votes Share other than BJP]]</f>
        <v>-0.34296045200999997</v>
      </c>
      <c r="R254">
        <v>1150223</v>
      </c>
      <c r="S254">
        <v>1603318</v>
      </c>
      <c r="T254" s="10">
        <v>0.71740166329999999</v>
      </c>
      <c r="U254" s="1" t="s">
        <v>68</v>
      </c>
    </row>
    <row r="255" spans="1:21" x14ac:dyDescent="0.35">
      <c r="A255" s="1" t="s">
        <v>18</v>
      </c>
      <c r="B255" s="1" t="s">
        <v>19</v>
      </c>
      <c r="C255" s="1" t="s">
        <v>518</v>
      </c>
      <c r="D255" s="1" t="s">
        <v>529</v>
      </c>
      <c r="E255" s="1" t="s">
        <v>21</v>
      </c>
      <c r="F255" s="1" t="s">
        <v>234</v>
      </c>
      <c r="G255" s="1" t="s">
        <v>112</v>
      </c>
      <c r="H255" s="1" t="s">
        <v>53</v>
      </c>
      <c r="I255" s="1" t="s">
        <v>461</v>
      </c>
      <c r="J255">
        <v>18813</v>
      </c>
      <c r="K255" s="9">
        <v>1.6355958800999999E-2</v>
      </c>
      <c r="L255" s="9">
        <v>0.51820212253999998</v>
      </c>
      <c r="M255">
        <v>596048</v>
      </c>
      <c r="N255">
        <v>201567</v>
      </c>
      <c r="O255" s="9">
        <v>0.17524167053</v>
      </c>
      <c r="P255" s="11">
        <f>Telengana_Reaults_2019[[#This Row],[BJP Votes]]-Telengana_Reaults_2019[[#This Row],[Max Votes Other than BJP]]</f>
        <v>-394481</v>
      </c>
      <c r="Q255" s="9">
        <f>Telengana_Reaults_2019[[#This Row],[BJP Vote Share]]-Telengana_Reaults_2019[[#This Row],[Max Votes Share other than BJP]]</f>
        <v>-0.34296045200999997</v>
      </c>
      <c r="R255">
        <v>1150223</v>
      </c>
      <c r="S255">
        <v>1603318</v>
      </c>
      <c r="T255" s="10">
        <v>0.71740166329999999</v>
      </c>
      <c r="U255" s="1" t="s">
        <v>68</v>
      </c>
    </row>
    <row r="256" spans="1:21" x14ac:dyDescent="0.35">
      <c r="A256" s="1" t="s">
        <v>18</v>
      </c>
      <c r="B256" s="1" t="s">
        <v>19</v>
      </c>
      <c r="C256" s="1" t="s">
        <v>518</v>
      </c>
      <c r="D256" s="1" t="s">
        <v>530</v>
      </c>
      <c r="E256" s="1" t="s">
        <v>21</v>
      </c>
      <c r="F256" s="1" t="s">
        <v>48</v>
      </c>
      <c r="G256" s="1" t="s">
        <v>67</v>
      </c>
      <c r="H256" s="1" t="s">
        <v>53</v>
      </c>
      <c r="I256" s="1" t="s">
        <v>102</v>
      </c>
      <c r="J256">
        <v>13998</v>
      </c>
      <c r="K256" s="9">
        <v>1.2169814027E-2</v>
      </c>
      <c r="L256" s="9">
        <v>0.51820212253999998</v>
      </c>
      <c r="M256">
        <v>596048</v>
      </c>
      <c r="N256">
        <v>201567</v>
      </c>
      <c r="O256" s="9">
        <v>0.17524167053</v>
      </c>
      <c r="P256" s="11">
        <f>Telengana_Reaults_2019[[#This Row],[BJP Votes]]-Telengana_Reaults_2019[[#This Row],[Max Votes Other than BJP]]</f>
        <v>-394481</v>
      </c>
      <c r="Q256" s="9">
        <f>Telengana_Reaults_2019[[#This Row],[BJP Vote Share]]-Telengana_Reaults_2019[[#This Row],[Max Votes Share other than BJP]]</f>
        <v>-0.34296045200999997</v>
      </c>
      <c r="R256">
        <v>1150223</v>
      </c>
      <c r="S256">
        <v>1603318</v>
      </c>
      <c r="T256" s="10">
        <v>0.71740166329999999</v>
      </c>
      <c r="U256" s="1" t="s">
        <v>68</v>
      </c>
    </row>
    <row r="257" spans="1:21" x14ac:dyDescent="0.35">
      <c r="A257" s="1" t="s">
        <v>18</v>
      </c>
      <c r="B257" s="1" t="s">
        <v>19</v>
      </c>
      <c r="C257" s="1" t="s">
        <v>518</v>
      </c>
      <c r="D257" s="1" t="s">
        <v>64</v>
      </c>
      <c r="E257" s="1" t="s">
        <v>64</v>
      </c>
      <c r="F257" s="1" t="s">
        <v>64</v>
      </c>
      <c r="G257" s="1" t="s">
        <v>64</v>
      </c>
      <c r="H257" s="1" t="s">
        <v>64</v>
      </c>
      <c r="I257" s="1" t="s">
        <v>64</v>
      </c>
      <c r="J257">
        <v>15390</v>
      </c>
      <c r="K257" s="9">
        <v>1.3380014136E-2</v>
      </c>
      <c r="L257" s="9">
        <v>0.51820212253999998</v>
      </c>
      <c r="M257">
        <v>596048</v>
      </c>
      <c r="N257">
        <v>201567</v>
      </c>
      <c r="O257" s="9">
        <v>0.17524167053</v>
      </c>
      <c r="P257" s="11">
        <f>Telengana_Reaults_2019[[#This Row],[BJP Votes]]-Telengana_Reaults_2019[[#This Row],[Max Votes Other than BJP]]</f>
        <v>-394481</v>
      </c>
      <c r="Q257" s="9">
        <f>Telengana_Reaults_2019[[#This Row],[BJP Vote Share]]-Telengana_Reaults_2019[[#This Row],[Max Votes Share other than BJP]]</f>
        <v>-0.34296045200999997</v>
      </c>
      <c r="R257">
        <v>1150223</v>
      </c>
      <c r="S257">
        <v>1603318</v>
      </c>
      <c r="T257" s="10">
        <v>0.71740166329999999</v>
      </c>
      <c r="U257" s="1" t="s">
        <v>68</v>
      </c>
    </row>
    <row r="258" spans="1:21" x14ac:dyDescent="0.35">
      <c r="A258" s="1" t="s">
        <v>18</v>
      </c>
      <c r="B258" s="1" t="s">
        <v>19</v>
      </c>
      <c r="C258" s="1" t="s">
        <v>531</v>
      </c>
      <c r="D258" s="1" t="s">
        <v>532</v>
      </c>
      <c r="E258" s="1" t="s">
        <v>21</v>
      </c>
      <c r="F258" s="1" t="s">
        <v>160</v>
      </c>
      <c r="G258" s="1" t="s">
        <v>112</v>
      </c>
      <c r="H258" s="1" t="s">
        <v>29</v>
      </c>
      <c r="I258" s="1" t="s">
        <v>30</v>
      </c>
      <c r="J258">
        <v>603748</v>
      </c>
      <c r="K258" s="9">
        <v>0.38625954295999998</v>
      </c>
      <c r="L258" s="9">
        <v>0.38625954295999998</v>
      </c>
      <c r="M258">
        <v>603748</v>
      </c>
      <c r="N258">
        <v>304282</v>
      </c>
      <c r="O258" s="9">
        <v>0.19467033638</v>
      </c>
      <c r="P258" s="11">
        <f>Telengana_Reaults_2019[[#This Row],[BJP Votes]]-Telengana_Reaults_2019[[#This Row],[Max Votes Other than BJP]]</f>
        <v>-299466</v>
      </c>
      <c r="Q258" s="9">
        <f>Telengana_Reaults_2019[[#This Row],[BJP Vote Share]]-Telengana_Reaults_2019[[#This Row],[Max Votes Share other than BJP]]</f>
        <v>-0.19158920657999998</v>
      </c>
      <c r="R258">
        <v>1563063</v>
      </c>
      <c r="S258">
        <v>3150313</v>
      </c>
      <c r="T258" s="10">
        <v>0.49616117510000002</v>
      </c>
      <c r="U258" s="1" t="s">
        <v>68</v>
      </c>
    </row>
    <row r="259" spans="1:21" x14ac:dyDescent="0.35">
      <c r="A259" s="1" t="s">
        <v>18</v>
      </c>
      <c r="B259" s="1" t="s">
        <v>19</v>
      </c>
      <c r="C259" s="1" t="s">
        <v>531</v>
      </c>
      <c r="D259" s="1" t="s">
        <v>533</v>
      </c>
      <c r="E259" s="1" t="s">
        <v>21</v>
      </c>
      <c r="F259" s="1" t="s">
        <v>176</v>
      </c>
      <c r="G259" s="1" t="s">
        <v>112</v>
      </c>
      <c r="H259" s="1" t="s">
        <v>24</v>
      </c>
      <c r="I259" s="1" t="s">
        <v>25</v>
      </c>
      <c r="J259">
        <v>592829</v>
      </c>
      <c r="K259" s="9">
        <v>0.37927390003</v>
      </c>
      <c r="L259" s="9">
        <v>0.38625954295999998</v>
      </c>
      <c r="M259">
        <v>603748</v>
      </c>
      <c r="N259">
        <v>304282</v>
      </c>
      <c r="O259" s="9">
        <v>0.19467033638</v>
      </c>
      <c r="P259" s="11">
        <f>Telengana_Reaults_2019[[#This Row],[BJP Votes]]-Telengana_Reaults_2019[[#This Row],[Max Votes Other than BJP]]</f>
        <v>-299466</v>
      </c>
      <c r="Q259" s="9">
        <f>Telengana_Reaults_2019[[#This Row],[BJP Vote Share]]-Telengana_Reaults_2019[[#This Row],[Max Votes Share other than BJP]]</f>
        <v>-0.19158920657999998</v>
      </c>
      <c r="R259">
        <v>1563063</v>
      </c>
      <c r="S259">
        <v>3150313</v>
      </c>
      <c r="T259" s="10">
        <v>0.49616117510000002</v>
      </c>
      <c r="U259" s="1" t="s">
        <v>68</v>
      </c>
    </row>
    <row r="260" spans="1:21" x14ac:dyDescent="0.35">
      <c r="A260" s="1" t="s">
        <v>18</v>
      </c>
      <c r="B260" s="1" t="s">
        <v>19</v>
      </c>
      <c r="C260" s="1" t="s">
        <v>531</v>
      </c>
      <c r="D260" s="1" t="s">
        <v>534</v>
      </c>
      <c r="E260" s="1" t="s">
        <v>21</v>
      </c>
      <c r="F260" s="1" t="s">
        <v>115</v>
      </c>
      <c r="G260" s="1" t="s">
        <v>112</v>
      </c>
      <c r="H260" s="1" t="s">
        <v>32</v>
      </c>
      <c r="I260" s="1" t="s">
        <v>33</v>
      </c>
      <c r="J260">
        <v>304282</v>
      </c>
      <c r="K260" s="9">
        <v>0.19467033638</v>
      </c>
      <c r="L260" s="9">
        <v>0.38625954295999998</v>
      </c>
      <c r="M260">
        <v>603748</v>
      </c>
      <c r="N260">
        <v>304282</v>
      </c>
      <c r="O260" s="9">
        <v>0.19467033638</v>
      </c>
      <c r="P260" s="11">
        <f>Telengana_Reaults_2019[[#This Row],[BJP Votes]]-Telengana_Reaults_2019[[#This Row],[Max Votes Other than BJP]]</f>
        <v>-299466</v>
      </c>
      <c r="Q260" s="9">
        <f>Telengana_Reaults_2019[[#This Row],[BJP Vote Share]]-Telengana_Reaults_2019[[#This Row],[Max Votes Share other than BJP]]</f>
        <v>-0.19158920657999998</v>
      </c>
      <c r="R260">
        <v>1563063</v>
      </c>
      <c r="S260">
        <v>3150313</v>
      </c>
      <c r="T260" s="10">
        <v>0.49616117510000002</v>
      </c>
      <c r="U260" s="1" t="s">
        <v>68</v>
      </c>
    </row>
    <row r="261" spans="1:21" x14ac:dyDescent="0.35">
      <c r="A261" s="1" t="s">
        <v>18</v>
      </c>
      <c r="B261" s="1" t="s">
        <v>19</v>
      </c>
      <c r="C261" s="1" t="s">
        <v>531</v>
      </c>
      <c r="D261" s="1" t="s">
        <v>535</v>
      </c>
      <c r="E261" s="1" t="s">
        <v>21</v>
      </c>
      <c r="F261" s="1" t="s">
        <v>117</v>
      </c>
      <c r="G261" s="1" t="s">
        <v>112</v>
      </c>
      <c r="H261" s="1" t="s">
        <v>536</v>
      </c>
      <c r="I261" s="1" t="s">
        <v>483</v>
      </c>
      <c r="J261">
        <v>1351</v>
      </c>
      <c r="K261" s="9">
        <v>8.6432856513000002E-4</v>
      </c>
      <c r="L261" s="9">
        <v>0.38625954295999998</v>
      </c>
      <c r="M261">
        <v>603748</v>
      </c>
      <c r="N261">
        <v>304282</v>
      </c>
      <c r="O261" s="9">
        <v>0.19467033638</v>
      </c>
      <c r="P261" s="11">
        <f>Telengana_Reaults_2019[[#This Row],[BJP Votes]]-Telengana_Reaults_2019[[#This Row],[Max Votes Other than BJP]]</f>
        <v>-299466</v>
      </c>
      <c r="Q261" s="9">
        <f>Telengana_Reaults_2019[[#This Row],[BJP Vote Share]]-Telengana_Reaults_2019[[#This Row],[Max Votes Share other than BJP]]</f>
        <v>-0.19158920657999998</v>
      </c>
      <c r="R261">
        <v>1563063</v>
      </c>
      <c r="S261">
        <v>3150313</v>
      </c>
      <c r="T261" s="10">
        <v>0.49616117510000002</v>
      </c>
      <c r="U261" s="1" t="s">
        <v>68</v>
      </c>
    </row>
    <row r="262" spans="1:21" x14ac:dyDescent="0.35">
      <c r="A262" s="1" t="s">
        <v>18</v>
      </c>
      <c r="B262" s="1" t="s">
        <v>19</v>
      </c>
      <c r="C262" s="1" t="s">
        <v>531</v>
      </c>
      <c r="D262" s="1" t="s">
        <v>537</v>
      </c>
      <c r="E262" s="1" t="s">
        <v>21</v>
      </c>
      <c r="F262" s="1" t="s">
        <v>173</v>
      </c>
      <c r="G262" s="1" t="s">
        <v>112</v>
      </c>
      <c r="H262" s="1" t="s">
        <v>538</v>
      </c>
      <c r="I262" s="1" t="s">
        <v>459</v>
      </c>
      <c r="J262">
        <v>720</v>
      </c>
      <c r="K262" s="9">
        <v>4.6063402435000001E-4</v>
      </c>
      <c r="L262" s="9">
        <v>0.38625954295999998</v>
      </c>
      <c r="M262">
        <v>603748</v>
      </c>
      <c r="N262">
        <v>304282</v>
      </c>
      <c r="O262" s="9">
        <v>0.19467033638</v>
      </c>
      <c r="P262" s="11">
        <f>Telengana_Reaults_2019[[#This Row],[BJP Votes]]-Telengana_Reaults_2019[[#This Row],[Max Votes Other than BJP]]</f>
        <v>-299466</v>
      </c>
      <c r="Q262" s="9">
        <f>Telengana_Reaults_2019[[#This Row],[BJP Vote Share]]-Telengana_Reaults_2019[[#This Row],[Max Votes Share other than BJP]]</f>
        <v>-0.19158920657999998</v>
      </c>
      <c r="R262">
        <v>1563063</v>
      </c>
      <c r="S262">
        <v>3150313</v>
      </c>
      <c r="T262" s="10">
        <v>0.49616117510000002</v>
      </c>
      <c r="U262" s="1" t="s">
        <v>68</v>
      </c>
    </row>
    <row r="263" spans="1:21" x14ac:dyDescent="0.35">
      <c r="A263" s="1" t="s">
        <v>18</v>
      </c>
      <c r="B263" s="1" t="s">
        <v>19</v>
      </c>
      <c r="C263" s="1" t="s">
        <v>531</v>
      </c>
      <c r="D263" s="1" t="s">
        <v>539</v>
      </c>
      <c r="E263" s="1" t="s">
        <v>35</v>
      </c>
      <c r="F263" s="1" t="s">
        <v>125</v>
      </c>
      <c r="G263" s="1" t="s">
        <v>67</v>
      </c>
      <c r="H263" s="1" t="s">
        <v>84</v>
      </c>
      <c r="I263" s="1" t="s">
        <v>85</v>
      </c>
      <c r="J263">
        <v>1236</v>
      </c>
      <c r="K263" s="9">
        <v>7.9075507512999996E-4</v>
      </c>
      <c r="L263" s="9">
        <v>0.38625954295999998</v>
      </c>
      <c r="M263">
        <v>603748</v>
      </c>
      <c r="N263">
        <v>304282</v>
      </c>
      <c r="O263" s="9">
        <v>0.19467033638</v>
      </c>
      <c r="P263" s="11">
        <f>Telengana_Reaults_2019[[#This Row],[BJP Votes]]-Telengana_Reaults_2019[[#This Row],[Max Votes Other than BJP]]</f>
        <v>-299466</v>
      </c>
      <c r="Q263" s="9">
        <f>Telengana_Reaults_2019[[#This Row],[BJP Vote Share]]-Telengana_Reaults_2019[[#This Row],[Max Votes Share other than BJP]]</f>
        <v>-0.19158920657999998</v>
      </c>
      <c r="R263">
        <v>1563063</v>
      </c>
      <c r="S263">
        <v>3150313</v>
      </c>
      <c r="T263" s="10">
        <v>0.49616117510000002</v>
      </c>
      <c r="U263" s="1" t="s">
        <v>68</v>
      </c>
    </row>
    <row r="264" spans="1:21" x14ac:dyDescent="0.35">
      <c r="A264" s="1" t="s">
        <v>18</v>
      </c>
      <c r="B264" s="1" t="s">
        <v>19</v>
      </c>
      <c r="C264" s="1" t="s">
        <v>531</v>
      </c>
      <c r="D264" s="1" t="s">
        <v>540</v>
      </c>
      <c r="E264" s="1" t="s">
        <v>21</v>
      </c>
      <c r="F264" s="1" t="s">
        <v>117</v>
      </c>
      <c r="G264" s="1" t="s">
        <v>112</v>
      </c>
      <c r="H264" s="1" t="s">
        <v>41</v>
      </c>
      <c r="I264" s="1" t="s">
        <v>42</v>
      </c>
      <c r="J264">
        <v>28420</v>
      </c>
      <c r="K264" s="9">
        <v>1.8182248572000001E-2</v>
      </c>
      <c r="L264" s="9">
        <v>0.38625954295999998</v>
      </c>
      <c r="M264">
        <v>603748</v>
      </c>
      <c r="N264">
        <v>304282</v>
      </c>
      <c r="O264" s="9">
        <v>0.19467033638</v>
      </c>
      <c r="P264" s="11">
        <f>Telengana_Reaults_2019[[#This Row],[BJP Votes]]-Telengana_Reaults_2019[[#This Row],[Max Votes Other than BJP]]</f>
        <v>-299466</v>
      </c>
      <c r="Q264" s="9">
        <f>Telengana_Reaults_2019[[#This Row],[BJP Vote Share]]-Telengana_Reaults_2019[[#This Row],[Max Votes Share other than BJP]]</f>
        <v>-0.19158920657999998</v>
      </c>
      <c r="R264">
        <v>1563063</v>
      </c>
      <c r="S264">
        <v>3150313</v>
      </c>
      <c r="T264" s="10">
        <v>0.49616117510000002</v>
      </c>
      <c r="U264" s="1" t="s">
        <v>68</v>
      </c>
    </row>
    <row r="265" spans="1:21" x14ac:dyDescent="0.35">
      <c r="A265" s="1" t="s">
        <v>18</v>
      </c>
      <c r="B265" s="1" t="s">
        <v>19</v>
      </c>
      <c r="C265" s="1" t="s">
        <v>531</v>
      </c>
      <c r="D265" s="1" t="s">
        <v>541</v>
      </c>
      <c r="E265" s="1" t="s">
        <v>21</v>
      </c>
      <c r="F265" s="1" t="s">
        <v>44</v>
      </c>
      <c r="G265" s="1" t="s">
        <v>112</v>
      </c>
      <c r="H265" s="1" t="s">
        <v>53</v>
      </c>
      <c r="I265" s="1" t="s">
        <v>54</v>
      </c>
      <c r="J265">
        <v>1180</v>
      </c>
      <c r="K265" s="9">
        <v>7.5492798435000002E-4</v>
      </c>
      <c r="L265" s="9">
        <v>0.38625954295999998</v>
      </c>
      <c r="M265">
        <v>603748</v>
      </c>
      <c r="N265">
        <v>304282</v>
      </c>
      <c r="O265" s="9">
        <v>0.19467033638</v>
      </c>
      <c r="P265" s="11">
        <f>Telengana_Reaults_2019[[#This Row],[BJP Votes]]-Telengana_Reaults_2019[[#This Row],[Max Votes Other than BJP]]</f>
        <v>-299466</v>
      </c>
      <c r="Q265" s="9">
        <f>Telengana_Reaults_2019[[#This Row],[BJP Vote Share]]-Telengana_Reaults_2019[[#This Row],[Max Votes Share other than BJP]]</f>
        <v>-0.19158920657999998</v>
      </c>
      <c r="R265">
        <v>1563063</v>
      </c>
      <c r="S265">
        <v>3150313</v>
      </c>
      <c r="T265" s="10">
        <v>0.49616117510000002</v>
      </c>
      <c r="U265" s="1" t="s">
        <v>68</v>
      </c>
    </row>
    <row r="266" spans="1:21" x14ac:dyDescent="0.35">
      <c r="A266" s="1" t="s">
        <v>18</v>
      </c>
      <c r="B266" s="1" t="s">
        <v>19</v>
      </c>
      <c r="C266" s="1" t="s">
        <v>531</v>
      </c>
      <c r="D266" s="1" t="s">
        <v>542</v>
      </c>
      <c r="E266" s="1" t="s">
        <v>21</v>
      </c>
      <c r="F266" s="1" t="s">
        <v>62</v>
      </c>
      <c r="G266" s="1" t="s">
        <v>67</v>
      </c>
      <c r="H266" s="1" t="s">
        <v>53</v>
      </c>
      <c r="I266" s="1" t="s">
        <v>102</v>
      </c>
      <c r="J266">
        <v>3750</v>
      </c>
      <c r="K266" s="9">
        <v>2.3991355434999999E-3</v>
      </c>
      <c r="L266" s="9">
        <v>0.38625954295999998</v>
      </c>
      <c r="M266">
        <v>603748</v>
      </c>
      <c r="N266">
        <v>304282</v>
      </c>
      <c r="O266" s="9">
        <v>0.19467033638</v>
      </c>
      <c r="P266" s="11">
        <f>Telengana_Reaults_2019[[#This Row],[BJP Votes]]-Telengana_Reaults_2019[[#This Row],[Max Votes Other than BJP]]</f>
        <v>-299466</v>
      </c>
      <c r="Q266" s="9">
        <f>Telengana_Reaults_2019[[#This Row],[BJP Vote Share]]-Telengana_Reaults_2019[[#This Row],[Max Votes Share other than BJP]]</f>
        <v>-0.19158920657999998</v>
      </c>
      <c r="R266">
        <v>1563063</v>
      </c>
      <c r="S266">
        <v>3150313</v>
      </c>
      <c r="T266" s="10">
        <v>0.49616117510000002</v>
      </c>
      <c r="U266" s="1" t="s">
        <v>68</v>
      </c>
    </row>
    <row r="267" spans="1:21" x14ac:dyDescent="0.35">
      <c r="A267" s="1" t="s">
        <v>18</v>
      </c>
      <c r="B267" s="1" t="s">
        <v>19</v>
      </c>
      <c r="C267" s="1" t="s">
        <v>531</v>
      </c>
      <c r="D267" s="1" t="s">
        <v>543</v>
      </c>
      <c r="E267" s="1" t="s">
        <v>21</v>
      </c>
      <c r="F267" s="1" t="s">
        <v>117</v>
      </c>
      <c r="G267" s="1" t="s">
        <v>112</v>
      </c>
      <c r="H267" s="1" t="s">
        <v>53</v>
      </c>
      <c r="I267" s="1" t="s">
        <v>184</v>
      </c>
      <c r="J267">
        <v>3308</v>
      </c>
      <c r="K267" s="9">
        <v>2.1163574341E-3</v>
      </c>
      <c r="L267" s="9">
        <v>0.38625954295999998</v>
      </c>
      <c r="M267">
        <v>603748</v>
      </c>
      <c r="N267">
        <v>304282</v>
      </c>
      <c r="O267" s="9">
        <v>0.19467033638</v>
      </c>
      <c r="P267" s="11">
        <f>Telengana_Reaults_2019[[#This Row],[BJP Votes]]-Telengana_Reaults_2019[[#This Row],[Max Votes Other than BJP]]</f>
        <v>-299466</v>
      </c>
      <c r="Q267" s="9">
        <f>Telengana_Reaults_2019[[#This Row],[BJP Vote Share]]-Telengana_Reaults_2019[[#This Row],[Max Votes Share other than BJP]]</f>
        <v>-0.19158920657999998</v>
      </c>
      <c r="R267">
        <v>1563063</v>
      </c>
      <c r="S267">
        <v>3150313</v>
      </c>
      <c r="T267" s="10">
        <v>0.49616117510000002</v>
      </c>
      <c r="U267" s="1" t="s">
        <v>68</v>
      </c>
    </row>
    <row r="268" spans="1:21" x14ac:dyDescent="0.35">
      <c r="A268" s="1" t="s">
        <v>18</v>
      </c>
      <c r="B268" s="1" t="s">
        <v>19</v>
      </c>
      <c r="C268" s="1" t="s">
        <v>531</v>
      </c>
      <c r="D268" s="1" t="s">
        <v>544</v>
      </c>
      <c r="E268" s="1" t="s">
        <v>21</v>
      </c>
      <c r="F268" s="1" t="s">
        <v>99</v>
      </c>
      <c r="G268" s="1" t="s">
        <v>67</v>
      </c>
      <c r="H268" s="1" t="s">
        <v>53</v>
      </c>
      <c r="I268" s="1" t="s">
        <v>242</v>
      </c>
      <c r="J268">
        <v>2680</v>
      </c>
      <c r="K268" s="9">
        <v>1.7145822017000001E-3</v>
      </c>
      <c r="L268" s="9">
        <v>0.38625954295999998</v>
      </c>
      <c r="M268">
        <v>603748</v>
      </c>
      <c r="N268">
        <v>304282</v>
      </c>
      <c r="O268" s="9">
        <v>0.19467033638</v>
      </c>
      <c r="P268" s="11">
        <f>Telengana_Reaults_2019[[#This Row],[BJP Votes]]-Telengana_Reaults_2019[[#This Row],[Max Votes Other than BJP]]</f>
        <v>-299466</v>
      </c>
      <c r="Q268" s="9">
        <f>Telengana_Reaults_2019[[#This Row],[BJP Vote Share]]-Telengana_Reaults_2019[[#This Row],[Max Votes Share other than BJP]]</f>
        <v>-0.19158920657999998</v>
      </c>
      <c r="R268">
        <v>1563063</v>
      </c>
      <c r="S268">
        <v>3150313</v>
      </c>
      <c r="T268" s="10">
        <v>0.49616117510000002</v>
      </c>
      <c r="U268" s="1" t="s">
        <v>68</v>
      </c>
    </row>
    <row r="269" spans="1:21" x14ac:dyDescent="0.35">
      <c r="A269" s="1" t="s">
        <v>18</v>
      </c>
      <c r="B269" s="1" t="s">
        <v>19</v>
      </c>
      <c r="C269" s="1" t="s">
        <v>531</v>
      </c>
      <c r="D269" s="1" t="s">
        <v>545</v>
      </c>
      <c r="E269" s="1" t="s">
        <v>21</v>
      </c>
      <c r="F269" s="1" t="s">
        <v>265</v>
      </c>
      <c r="G269" s="1" t="s">
        <v>112</v>
      </c>
      <c r="H269" s="1" t="s">
        <v>53</v>
      </c>
      <c r="I269" s="1" t="s">
        <v>78</v>
      </c>
      <c r="J269">
        <v>1664</v>
      </c>
      <c r="K269" s="9">
        <v>1.0645764117999999E-3</v>
      </c>
      <c r="L269" s="9">
        <v>0.38625954295999998</v>
      </c>
      <c r="M269">
        <v>603748</v>
      </c>
      <c r="N269">
        <v>304282</v>
      </c>
      <c r="O269" s="9">
        <v>0.19467033638</v>
      </c>
      <c r="P269" s="11">
        <f>Telengana_Reaults_2019[[#This Row],[BJP Votes]]-Telengana_Reaults_2019[[#This Row],[Max Votes Other than BJP]]</f>
        <v>-299466</v>
      </c>
      <c r="Q269" s="9">
        <f>Telengana_Reaults_2019[[#This Row],[BJP Vote Share]]-Telengana_Reaults_2019[[#This Row],[Max Votes Share other than BJP]]</f>
        <v>-0.19158920657999998</v>
      </c>
      <c r="R269">
        <v>1563063</v>
      </c>
      <c r="S269">
        <v>3150313</v>
      </c>
      <c r="T269" s="10">
        <v>0.49616117510000002</v>
      </c>
      <c r="U269" s="1" t="s">
        <v>68</v>
      </c>
    </row>
    <row r="270" spans="1:21" x14ac:dyDescent="0.35">
      <c r="A270" s="1" t="s">
        <v>18</v>
      </c>
      <c r="B270" s="1" t="s">
        <v>19</v>
      </c>
      <c r="C270" s="1" t="s">
        <v>531</v>
      </c>
      <c r="D270" s="1" t="s">
        <v>64</v>
      </c>
      <c r="E270" s="1" t="s">
        <v>64</v>
      </c>
      <c r="F270" s="1" t="s">
        <v>64</v>
      </c>
      <c r="G270" s="1" t="s">
        <v>64</v>
      </c>
      <c r="H270" s="1" t="s">
        <v>64</v>
      </c>
      <c r="I270" s="1" t="s">
        <v>64</v>
      </c>
      <c r="J270">
        <v>17895</v>
      </c>
      <c r="K270" s="9">
        <v>1.1448674813E-2</v>
      </c>
      <c r="L270" s="9">
        <v>0.38625954295999998</v>
      </c>
      <c r="M270">
        <v>603748</v>
      </c>
      <c r="N270">
        <v>304282</v>
      </c>
      <c r="O270" s="9">
        <v>0.19467033638</v>
      </c>
      <c r="P270" s="11">
        <f>Telengana_Reaults_2019[[#This Row],[BJP Votes]]-Telengana_Reaults_2019[[#This Row],[Max Votes Other than BJP]]</f>
        <v>-299466</v>
      </c>
      <c r="Q270" s="9">
        <f>Telengana_Reaults_2019[[#This Row],[BJP Vote Share]]-Telengana_Reaults_2019[[#This Row],[Max Votes Share other than BJP]]</f>
        <v>-0.19158920657999998</v>
      </c>
      <c r="R270">
        <v>1563063</v>
      </c>
      <c r="S270">
        <v>3150313</v>
      </c>
      <c r="T270" s="10">
        <v>0.49616117510000002</v>
      </c>
      <c r="U270" s="1" t="s">
        <v>68</v>
      </c>
    </row>
    <row r="271" spans="1:21" x14ac:dyDescent="0.35">
      <c r="A271" s="1" t="s">
        <v>18</v>
      </c>
      <c r="B271" s="1" t="s">
        <v>19</v>
      </c>
      <c r="C271" s="1" t="s">
        <v>546</v>
      </c>
      <c r="D271" s="1" t="s">
        <v>547</v>
      </c>
      <c r="E271" s="1" t="s">
        <v>21</v>
      </c>
      <c r="F271" s="1" t="s">
        <v>379</v>
      </c>
      <c r="G271" s="1" t="s">
        <v>112</v>
      </c>
      <c r="H271" s="1" t="s">
        <v>29</v>
      </c>
      <c r="I271" s="1" t="s">
        <v>30</v>
      </c>
      <c r="J271">
        <v>173229</v>
      </c>
      <c r="K271" s="9">
        <v>0.18929938170999999</v>
      </c>
      <c r="L271" s="9">
        <v>0.35259958955999998</v>
      </c>
      <c r="M271">
        <v>322666</v>
      </c>
      <c r="N271">
        <v>384780</v>
      </c>
      <c r="O271" s="9">
        <v>0.42047587930000002</v>
      </c>
      <c r="P271" s="11">
        <f>Telengana_Reaults_2019[[#This Row],[BJP Votes]]-Telengana_Reaults_2019[[#This Row],[Max Votes Other than BJP]]</f>
        <v>62114</v>
      </c>
      <c r="Q271" s="9">
        <f>Telengana_Reaults_2019[[#This Row],[BJP Vote Share]]-Telengana_Reaults_2019[[#This Row],[Max Votes Share other than BJP]]</f>
        <v>6.787628974000004E-2</v>
      </c>
      <c r="R271">
        <v>915106</v>
      </c>
      <c r="S271">
        <v>1968276</v>
      </c>
      <c r="T271" s="10">
        <v>0.46492768290999997</v>
      </c>
      <c r="U271" s="1" t="s">
        <v>26</v>
      </c>
    </row>
    <row r="272" spans="1:21" x14ac:dyDescent="0.35">
      <c r="A272" s="1" t="s">
        <v>18</v>
      </c>
      <c r="B272" s="1" t="s">
        <v>19</v>
      </c>
      <c r="C272" s="1" t="s">
        <v>546</v>
      </c>
      <c r="D272" s="1" t="s">
        <v>548</v>
      </c>
      <c r="E272" s="1" t="s">
        <v>21</v>
      </c>
      <c r="F272" s="1" t="s">
        <v>379</v>
      </c>
      <c r="G272" s="1" t="s">
        <v>112</v>
      </c>
      <c r="H272" s="1" t="s">
        <v>32</v>
      </c>
      <c r="I272" s="1" t="s">
        <v>33</v>
      </c>
      <c r="J272">
        <v>384780</v>
      </c>
      <c r="K272" s="9">
        <v>0.42047587930000002</v>
      </c>
      <c r="L272" s="9">
        <v>0.35259958955999998</v>
      </c>
      <c r="M272">
        <v>322666</v>
      </c>
      <c r="N272">
        <v>384780</v>
      </c>
      <c r="O272" s="9">
        <v>0.42047587930000002</v>
      </c>
      <c r="P272" s="11">
        <f>Telengana_Reaults_2019[[#This Row],[BJP Votes]]-Telengana_Reaults_2019[[#This Row],[Max Votes Other than BJP]]</f>
        <v>62114</v>
      </c>
      <c r="Q272" s="9">
        <f>Telengana_Reaults_2019[[#This Row],[BJP Vote Share]]-Telengana_Reaults_2019[[#This Row],[Max Votes Share other than BJP]]</f>
        <v>6.787628974000004E-2</v>
      </c>
      <c r="R272">
        <v>915106</v>
      </c>
      <c r="S272">
        <v>1968276</v>
      </c>
      <c r="T272" s="10">
        <v>0.46492768290999997</v>
      </c>
      <c r="U272" s="1" t="s">
        <v>26</v>
      </c>
    </row>
    <row r="273" spans="1:21" x14ac:dyDescent="0.35">
      <c r="A273" s="1" t="s">
        <v>18</v>
      </c>
      <c r="B273" s="1" t="s">
        <v>19</v>
      </c>
      <c r="C273" s="1" t="s">
        <v>546</v>
      </c>
      <c r="D273" s="1" t="s">
        <v>549</v>
      </c>
      <c r="E273" s="1" t="s">
        <v>21</v>
      </c>
      <c r="F273" s="1" t="s">
        <v>125</v>
      </c>
      <c r="G273" s="1" t="s">
        <v>112</v>
      </c>
      <c r="H273" s="1" t="s">
        <v>24</v>
      </c>
      <c r="I273" s="1" t="s">
        <v>25</v>
      </c>
      <c r="J273">
        <v>322666</v>
      </c>
      <c r="K273" s="9">
        <v>0.35259958955999998</v>
      </c>
      <c r="L273" s="9">
        <v>0.35259958955999998</v>
      </c>
      <c r="M273">
        <v>322666</v>
      </c>
      <c r="N273">
        <v>384780</v>
      </c>
      <c r="O273" s="9">
        <v>0.42047587930000002</v>
      </c>
      <c r="P273" s="11">
        <f>Telengana_Reaults_2019[[#This Row],[BJP Votes]]-Telengana_Reaults_2019[[#This Row],[Max Votes Other than BJP]]</f>
        <v>62114</v>
      </c>
      <c r="Q273" s="9">
        <f>Telengana_Reaults_2019[[#This Row],[BJP Vote Share]]-Telengana_Reaults_2019[[#This Row],[Max Votes Share other than BJP]]</f>
        <v>6.787628974000004E-2</v>
      </c>
      <c r="R273">
        <v>915106</v>
      </c>
      <c r="S273">
        <v>1968276</v>
      </c>
      <c r="T273" s="10">
        <v>0.46492768290999997</v>
      </c>
      <c r="U273" s="1" t="s">
        <v>26</v>
      </c>
    </row>
    <row r="274" spans="1:21" x14ac:dyDescent="0.35">
      <c r="A274" s="1" t="s">
        <v>18</v>
      </c>
      <c r="B274" s="1" t="s">
        <v>19</v>
      </c>
      <c r="C274" s="1" t="s">
        <v>546</v>
      </c>
      <c r="D274" s="1" t="s">
        <v>550</v>
      </c>
      <c r="E274" s="1" t="s">
        <v>21</v>
      </c>
      <c r="F274" s="1" t="s">
        <v>44</v>
      </c>
      <c r="G274" s="1" t="s">
        <v>67</v>
      </c>
      <c r="H274" s="1" t="s">
        <v>126</v>
      </c>
      <c r="I274" s="1" t="s">
        <v>127</v>
      </c>
      <c r="J274">
        <v>1147</v>
      </c>
      <c r="K274" s="9">
        <v>1.2534067092E-3</v>
      </c>
      <c r="L274" s="9">
        <v>0.35259958955999998</v>
      </c>
      <c r="M274">
        <v>322666</v>
      </c>
      <c r="N274">
        <v>384780</v>
      </c>
      <c r="O274" s="9">
        <v>0.42047587930000002</v>
      </c>
      <c r="P274" s="11">
        <f>Telengana_Reaults_2019[[#This Row],[BJP Votes]]-Telengana_Reaults_2019[[#This Row],[Max Votes Other than BJP]]</f>
        <v>62114</v>
      </c>
      <c r="Q274" s="9">
        <f>Telengana_Reaults_2019[[#This Row],[BJP Vote Share]]-Telengana_Reaults_2019[[#This Row],[Max Votes Share other than BJP]]</f>
        <v>6.787628974000004E-2</v>
      </c>
      <c r="R274">
        <v>915106</v>
      </c>
      <c r="S274">
        <v>1968276</v>
      </c>
      <c r="T274" s="10">
        <v>0.46492768290999997</v>
      </c>
      <c r="U274" s="1" t="s">
        <v>26</v>
      </c>
    </row>
    <row r="275" spans="1:21" x14ac:dyDescent="0.35">
      <c r="A275" s="1" t="s">
        <v>18</v>
      </c>
      <c r="B275" s="1" t="s">
        <v>19</v>
      </c>
      <c r="C275" s="1" t="s">
        <v>546</v>
      </c>
      <c r="D275" s="1" t="s">
        <v>551</v>
      </c>
      <c r="E275" s="1" t="s">
        <v>21</v>
      </c>
      <c r="F275" s="1" t="s">
        <v>234</v>
      </c>
      <c r="G275" s="1" t="s">
        <v>67</v>
      </c>
      <c r="H275" s="1" t="s">
        <v>84</v>
      </c>
      <c r="I275" s="1" t="s">
        <v>85</v>
      </c>
      <c r="J275">
        <v>420</v>
      </c>
      <c r="K275" s="9">
        <v>4.5896322392999998E-4</v>
      </c>
      <c r="L275" s="9">
        <v>0.35259958955999998</v>
      </c>
      <c r="M275">
        <v>322666</v>
      </c>
      <c r="N275">
        <v>384780</v>
      </c>
      <c r="O275" s="9">
        <v>0.42047587930000002</v>
      </c>
      <c r="P275" s="11">
        <f>Telengana_Reaults_2019[[#This Row],[BJP Votes]]-Telengana_Reaults_2019[[#This Row],[Max Votes Other than BJP]]</f>
        <v>62114</v>
      </c>
      <c r="Q275" s="9">
        <f>Telengana_Reaults_2019[[#This Row],[BJP Vote Share]]-Telengana_Reaults_2019[[#This Row],[Max Votes Share other than BJP]]</f>
        <v>6.787628974000004E-2</v>
      </c>
      <c r="R275">
        <v>915106</v>
      </c>
      <c r="S275">
        <v>1968276</v>
      </c>
      <c r="T275" s="10">
        <v>0.46492768290999997</v>
      </c>
      <c r="U275" s="1" t="s">
        <v>26</v>
      </c>
    </row>
    <row r="276" spans="1:21" x14ac:dyDescent="0.35">
      <c r="A276" s="1" t="s">
        <v>18</v>
      </c>
      <c r="B276" s="1" t="s">
        <v>19</v>
      </c>
      <c r="C276" s="1" t="s">
        <v>546</v>
      </c>
      <c r="D276" s="1" t="s">
        <v>552</v>
      </c>
      <c r="E276" s="1" t="s">
        <v>21</v>
      </c>
      <c r="F276" s="1" t="s">
        <v>165</v>
      </c>
      <c r="G276" s="1" t="s">
        <v>112</v>
      </c>
      <c r="H276" s="1" t="s">
        <v>509</v>
      </c>
      <c r="I276" s="1" t="s">
        <v>102</v>
      </c>
      <c r="J276">
        <v>1297</v>
      </c>
      <c r="K276" s="9">
        <v>1.4173221463E-3</v>
      </c>
      <c r="L276" s="9">
        <v>0.35259958955999998</v>
      </c>
      <c r="M276">
        <v>322666</v>
      </c>
      <c r="N276">
        <v>384780</v>
      </c>
      <c r="O276" s="9">
        <v>0.42047587930000002</v>
      </c>
      <c r="P276" s="11">
        <f>Telengana_Reaults_2019[[#This Row],[BJP Votes]]-Telengana_Reaults_2019[[#This Row],[Max Votes Other than BJP]]</f>
        <v>62114</v>
      </c>
      <c r="Q276" s="9">
        <f>Telengana_Reaults_2019[[#This Row],[BJP Vote Share]]-Telengana_Reaults_2019[[#This Row],[Max Votes Share other than BJP]]</f>
        <v>6.787628974000004E-2</v>
      </c>
      <c r="R276">
        <v>915106</v>
      </c>
      <c r="S276">
        <v>1968276</v>
      </c>
      <c r="T276" s="10">
        <v>0.46492768290999997</v>
      </c>
      <c r="U276" s="1" t="s">
        <v>26</v>
      </c>
    </row>
    <row r="277" spans="1:21" x14ac:dyDescent="0.35">
      <c r="A277" s="1" t="s">
        <v>18</v>
      </c>
      <c r="B277" s="1" t="s">
        <v>19</v>
      </c>
      <c r="C277" s="1" t="s">
        <v>546</v>
      </c>
      <c r="D277" s="1" t="s">
        <v>553</v>
      </c>
      <c r="E277" s="1" t="s">
        <v>21</v>
      </c>
      <c r="F277" s="1" t="s">
        <v>71</v>
      </c>
      <c r="G277" s="1" t="s">
        <v>112</v>
      </c>
      <c r="H277" s="1" t="s">
        <v>554</v>
      </c>
      <c r="I277" s="1" t="s">
        <v>299</v>
      </c>
      <c r="J277">
        <v>360</v>
      </c>
      <c r="K277" s="9">
        <v>3.9339704909E-4</v>
      </c>
      <c r="L277" s="9">
        <v>0.35259958955999998</v>
      </c>
      <c r="M277">
        <v>322666</v>
      </c>
      <c r="N277">
        <v>384780</v>
      </c>
      <c r="O277" s="9">
        <v>0.42047587930000002</v>
      </c>
      <c r="P277" s="11">
        <f>Telengana_Reaults_2019[[#This Row],[BJP Votes]]-Telengana_Reaults_2019[[#This Row],[Max Votes Other than BJP]]</f>
        <v>62114</v>
      </c>
      <c r="Q277" s="9">
        <f>Telengana_Reaults_2019[[#This Row],[BJP Vote Share]]-Telengana_Reaults_2019[[#This Row],[Max Votes Share other than BJP]]</f>
        <v>6.787628974000004E-2</v>
      </c>
      <c r="R277">
        <v>915106</v>
      </c>
      <c r="S277">
        <v>1968276</v>
      </c>
      <c r="T277" s="10">
        <v>0.46492768290999997</v>
      </c>
      <c r="U277" s="1" t="s">
        <v>26</v>
      </c>
    </row>
    <row r="278" spans="1:21" x14ac:dyDescent="0.35">
      <c r="A278" s="1" t="s">
        <v>18</v>
      </c>
      <c r="B278" s="1" t="s">
        <v>19</v>
      </c>
      <c r="C278" s="1" t="s">
        <v>546</v>
      </c>
      <c r="D278" s="1" t="s">
        <v>555</v>
      </c>
      <c r="E278" s="1" t="s">
        <v>21</v>
      </c>
      <c r="F278" s="1" t="s">
        <v>117</v>
      </c>
      <c r="G278" s="1" t="s">
        <v>112</v>
      </c>
      <c r="H278" s="1" t="s">
        <v>556</v>
      </c>
      <c r="I278" s="1" t="s">
        <v>38</v>
      </c>
      <c r="J278">
        <v>555</v>
      </c>
      <c r="K278" s="9">
        <v>6.0648711733999998E-4</v>
      </c>
      <c r="L278" s="9">
        <v>0.35259958955999998</v>
      </c>
      <c r="M278">
        <v>322666</v>
      </c>
      <c r="N278">
        <v>384780</v>
      </c>
      <c r="O278" s="9">
        <v>0.42047587930000002</v>
      </c>
      <c r="P278" s="11">
        <f>Telengana_Reaults_2019[[#This Row],[BJP Votes]]-Telengana_Reaults_2019[[#This Row],[Max Votes Other than BJP]]</f>
        <v>62114</v>
      </c>
      <c r="Q278" s="9">
        <f>Telengana_Reaults_2019[[#This Row],[BJP Vote Share]]-Telengana_Reaults_2019[[#This Row],[Max Votes Share other than BJP]]</f>
        <v>6.787628974000004E-2</v>
      </c>
      <c r="R278">
        <v>915106</v>
      </c>
      <c r="S278">
        <v>1968276</v>
      </c>
      <c r="T278" s="10">
        <v>0.46492768290999997</v>
      </c>
      <c r="U278" s="1" t="s">
        <v>26</v>
      </c>
    </row>
    <row r="279" spans="1:21" x14ac:dyDescent="0.35">
      <c r="A279" s="1" t="s">
        <v>18</v>
      </c>
      <c r="B279" s="1" t="s">
        <v>19</v>
      </c>
      <c r="C279" s="1" t="s">
        <v>546</v>
      </c>
      <c r="D279" s="1" t="s">
        <v>557</v>
      </c>
      <c r="E279" s="1" t="s">
        <v>21</v>
      </c>
      <c r="F279" s="1" t="s">
        <v>265</v>
      </c>
      <c r="G279" s="1" t="s">
        <v>23</v>
      </c>
      <c r="H279" s="1" t="s">
        <v>523</v>
      </c>
      <c r="I279" s="1" t="s">
        <v>167</v>
      </c>
      <c r="J279">
        <v>334</v>
      </c>
      <c r="K279" s="9">
        <v>3.6498503998000001E-4</v>
      </c>
      <c r="L279" s="9">
        <v>0.35259958955999998</v>
      </c>
      <c r="M279">
        <v>322666</v>
      </c>
      <c r="N279">
        <v>384780</v>
      </c>
      <c r="O279" s="9">
        <v>0.42047587930000002</v>
      </c>
      <c r="P279" s="11">
        <f>Telengana_Reaults_2019[[#This Row],[BJP Votes]]-Telengana_Reaults_2019[[#This Row],[Max Votes Other than BJP]]</f>
        <v>62114</v>
      </c>
      <c r="Q279" s="9">
        <f>Telengana_Reaults_2019[[#This Row],[BJP Vote Share]]-Telengana_Reaults_2019[[#This Row],[Max Votes Share other than BJP]]</f>
        <v>6.787628974000004E-2</v>
      </c>
      <c r="R279">
        <v>915106</v>
      </c>
      <c r="S279">
        <v>1968276</v>
      </c>
      <c r="T279" s="10">
        <v>0.46492768290999997</v>
      </c>
      <c r="U279" s="1" t="s">
        <v>26</v>
      </c>
    </row>
    <row r="280" spans="1:21" x14ac:dyDescent="0.35">
      <c r="A280" s="1" t="s">
        <v>18</v>
      </c>
      <c r="B280" s="1" t="s">
        <v>19</v>
      </c>
      <c r="C280" s="1" t="s">
        <v>546</v>
      </c>
      <c r="D280" s="1" t="s">
        <v>558</v>
      </c>
      <c r="E280" s="1" t="s">
        <v>21</v>
      </c>
      <c r="F280" s="1" t="s">
        <v>559</v>
      </c>
      <c r="G280" s="1" t="s">
        <v>67</v>
      </c>
      <c r="H280" s="1" t="s">
        <v>560</v>
      </c>
      <c r="I280" s="1" t="s">
        <v>242</v>
      </c>
      <c r="J280">
        <v>586</v>
      </c>
      <c r="K280" s="9">
        <v>6.4036297433999996E-4</v>
      </c>
      <c r="L280" s="9">
        <v>0.35259958955999998</v>
      </c>
      <c r="M280">
        <v>322666</v>
      </c>
      <c r="N280">
        <v>384780</v>
      </c>
      <c r="O280" s="9">
        <v>0.42047587930000002</v>
      </c>
      <c r="P280" s="11">
        <f>Telengana_Reaults_2019[[#This Row],[BJP Votes]]-Telengana_Reaults_2019[[#This Row],[Max Votes Other than BJP]]</f>
        <v>62114</v>
      </c>
      <c r="Q280" s="9">
        <f>Telengana_Reaults_2019[[#This Row],[BJP Vote Share]]-Telengana_Reaults_2019[[#This Row],[Max Votes Share other than BJP]]</f>
        <v>6.787628974000004E-2</v>
      </c>
      <c r="R280">
        <v>915106</v>
      </c>
      <c r="S280">
        <v>1968276</v>
      </c>
      <c r="T280" s="10">
        <v>0.46492768290999997</v>
      </c>
      <c r="U280" s="1" t="s">
        <v>26</v>
      </c>
    </row>
    <row r="281" spans="1:21" x14ac:dyDescent="0.35">
      <c r="A281" s="1" t="s">
        <v>18</v>
      </c>
      <c r="B281" s="1" t="s">
        <v>19</v>
      </c>
      <c r="C281" s="1" t="s">
        <v>546</v>
      </c>
      <c r="D281" s="1" t="s">
        <v>561</v>
      </c>
      <c r="E281" s="1" t="s">
        <v>21</v>
      </c>
      <c r="F281" s="1" t="s">
        <v>234</v>
      </c>
      <c r="G281" s="1" t="s">
        <v>112</v>
      </c>
      <c r="H281" s="1" t="s">
        <v>562</v>
      </c>
      <c r="I281" s="1" t="s">
        <v>425</v>
      </c>
      <c r="J281">
        <v>521</v>
      </c>
      <c r="K281" s="9">
        <v>5.6933295159000002E-4</v>
      </c>
      <c r="L281" s="9">
        <v>0.35259958955999998</v>
      </c>
      <c r="M281">
        <v>322666</v>
      </c>
      <c r="N281">
        <v>384780</v>
      </c>
      <c r="O281" s="9">
        <v>0.42047587930000002</v>
      </c>
      <c r="P281" s="11">
        <f>Telengana_Reaults_2019[[#This Row],[BJP Votes]]-Telengana_Reaults_2019[[#This Row],[Max Votes Other than BJP]]</f>
        <v>62114</v>
      </c>
      <c r="Q281" s="9">
        <f>Telengana_Reaults_2019[[#This Row],[BJP Vote Share]]-Telengana_Reaults_2019[[#This Row],[Max Votes Share other than BJP]]</f>
        <v>6.787628974000004E-2</v>
      </c>
      <c r="R281">
        <v>915106</v>
      </c>
      <c r="S281">
        <v>1968276</v>
      </c>
      <c r="T281" s="10">
        <v>0.46492768290999997</v>
      </c>
      <c r="U281" s="1" t="s">
        <v>26</v>
      </c>
    </row>
    <row r="282" spans="1:21" x14ac:dyDescent="0.35">
      <c r="A282" s="1" t="s">
        <v>18</v>
      </c>
      <c r="B282" s="1" t="s">
        <v>19</v>
      </c>
      <c r="C282" s="1" t="s">
        <v>546</v>
      </c>
      <c r="D282" s="1" t="s">
        <v>563</v>
      </c>
      <c r="E282" s="1" t="s">
        <v>21</v>
      </c>
      <c r="F282" s="1" t="s">
        <v>183</v>
      </c>
      <c r="G282" s="1" t="s">
        <v>112</v>
      </c>
      <c r="H282" s="1" t="s">
        <v>41</v>
      </c>
      <c r="I282" s="1" t="s">
        <v>42</v>
      </c>
      <c r="J282">
        <v>9683</v>
      </c>
      <c r="K282" s="9">
        <v>1.0581287851E-2</v>
      </c>
      <c r="L282" s="9">
        <v>0.35259958955999998</v>
      </c>
      <c r="M282">
        <v>322666</v>
      </c>
      <c r="N282">
        <v>384780</v>
      </c>
      <c r="O282" s="9">
        <v>0.42047587930000002</v>
      </c>
      <c r="P282" s="11">
        <f>Telengana_Reaults_2019[[#This Row],[BJP Votes]]-Telengana_Reaults_2019[[#This Row],[Max Votes Other than BJP]]</f>
        <v>62114</v>
      </c>
      <c r="Q282" s="9">
        <f>Telengana_Reaults_2019[[#This Row],[BJP Vote Share]]-Telengana_Reaults_2019[[#This Row],[Max Votes Share other than BJP]]</f>
        <v>6.787628974000004E-2</v>
      </c>
      <c r="R282">
        <v>915106</v>
      </c>
      <c r="S282">
        <v>1968276</v>
      </c>
      <c r="T282" s="10">
        <v>0.46492768290999997</v>
      </c>
      <c r="U282" s="1" t="s">
        <v>26</v>
      </c>
    </row>
    <row r="283" spans="1:21" x14ac:dyDescent="0.35">
      <c r="A283" s="1" t="s">
        <v>18</v>
      </c>
      <c r="B283" s="1" t="s">
        <v>19</v>
      </c>
      <c r="C283" s="1" t="s">
        <v>546</v>
      </c>
      <c r="D283" s="1" t="s">
        <v>564</v>
      </c>
      <c r="E283" s="1" t="s">
        <v>35</v>
      </c>
      <c r="F283" s="1" t="s">
        <v>362</v>
      </c>
      <c r="G283" s="1" t="s">
        <v>23</v>
      </c>
      <c r="H283" s="1" t="s">
        <v>77</v>
      </c>
      <c r="I283" s="1" t="s">
        <v>78</v>
      </c>
      <c r="J283">
        <v>433</v>
      </c>
      <c r="K283" s="9">
        <v>4.7316922848000001E-4</v>
      </c>
      <c r="L283" s="9">
        <v>0.35259958955999998</v>
      </c>
      <c r="M283">
        <v>322666</v>
      </c>
      <c r="N283">
        <v>384780</v>
      </c>
      <c r="O283" s="9">
        <v>0.42047587930000002</v>
      </c>
      <c r="P283" s="11">
        <f>Telengana_Reaults_2019[[#This Row],[BJP Votes]]-Telengana_Reaults_2019[[#This Row],[Max Votes Other than BJP]]</f>
        <v>62114</v>
      </c>
      <c r="Q283" s="9">
        <f>Telengana_Reaults_2019[[#This Row],[BJP Vote Share]]-Telengana_Reaults_2019[[#This Row],[Max Votes Share other than BJP]]</f>
        <v>6.787628974000004E-2</v>
      </c>
      <c r="R283">
        <v>915106</v>
      </c>
      <c r="S283">
        <v>1968276</v>
      </c>
      <c r="T283" s="10">
        <v>0.46492768290999997</v>
      </c>
      <c r="U283" s="1" t="s">
        <v>26</v>
      </c>
    </row>
    <row r="284" spans="1:21" x14ac:dyDescent="0.35">
      <c r="A284" s="1" t="s">
        <v>18</v>
      </c>
      <c r="B284" s="1" t="s">
        <v>19</v>
      </c>
      <c r="C284" s="1" t="s">
        <v>546</v>
      </c>
      <c r="D284" s="1" t="s">
        <v>565</v>
      </c>
      <c r="E284" s="1" t="s">
        <v>21</v>
      </c>
      <c r="F284" s="1" t="s">
        <v>135</v>
      </c>
      <c r="G284" s="1" t="s">
        <v>112</v>
      </c>
      <c r="H284" s="1" t="s">
        <v>53</v>
      </c>
      <c r="I284" s="1" t="s">
        <v>310</v>
      </c>
      <c r="J284">
        <v>803</v>
      </c>
      <c r="K284" s="9">
        <v>8.7749397338E-4</v>
      </c>
      <c r="L284" s="9">
        <v>0.35259958955999998</v>
      </c>
      <c r="M284">
        <v>322666</v>
      </c>
      <c r="N284">
        <v>384780</v>
      </c>
      <c r="O284" s="9">
        <v>0.42047587930000002</v>
      </c>
      <c r="P284" s="11">
        <f>Telengana_Reaults_2019[[#This Row],[BJP Votes]]-Telengana_Reaults_2019[[#This Row],[Max Votes Other than BJP]]</f>
        <v>62114</v>
      </c>
      <c r="Q284" s="9">
        <f>Telengana_Reaults_2019[[#This Row],[BJP Vote Share]]-Telengana_Reaults_2019[[#This Row],[Max Votes Share other than BJP]]</f>
        <v>6.787628974000004E-2</v>
      </c>
      <c r="R284">
        <v>915106</v>
      </c>
      <c r="S284">
        <v>1968276</v>
      </c>
      <c r="T284" s="10">
        <v>0.46492768290999997</v>
      </c>
      <c r="U284" s="1" t="s">
        <v>26</v>
      </c>
    </row>
    <row r="285" spans="1:21" x14ac:dyDescent="0.35">
      <c r="A285" s="1" t="s">
        <v>18</v>
      </c>
      <c r="B285" s="1" t="s">
        <v>19</v>
      </c>
      <c r="C285" s="1" t="s">
        <v>546</v>
      </c>
      <c r="D285" s="1" t="s">
        <v>566</v>
      </c>
      <c r="E285" s="1" t="s">
        <v>21</v>
      </c>
      <c r="F285" s="1" t="s">
        <v>183</v>
      </c>
      <c r="G285" s="1" t="s">
        <v>112</v>
      </c>
      <c r="H285" s="1" t="s">
        <v>53</v>
      </c>
      <c r="I285" s="1" t="s">
        <v>54</v>
      </c>
      <c r="J285">
        <v>491</v>
      </c>
      <c r="K285" s="9">
        <v>5.3654986416999998E-4</v>
      </c>
      <c r="L285" s="9">
        <v>0.35259958955999998</v>
      </c>
      <c r="M285">
        <v>322666</v>
      </c>
      <c r="N285">
        <v>384780</v>
      </c>
      <c r="O285" s="9">
        <v>0.42047587930000002</v>
      </c>
      <c r="P285" s="11">
        <f>Telengana_Reaults_2019[[#This Row],[BJP Votes]]-Telengana_Reaults_2019[[#This Row],[Max Votes Other than BJP]]</f>
        <v>62114</v>
      </c>
      <c r="Q285" s="9">
        <f>Telengana_Reaults_2019[[#This Row],[BJP Vote Share]]-Telengana_Reaults_2019[[#This Row],[Max Votes Share other than BJP]]</f>
        <v>6.787628974000004E-2</v>
      </c>
      <c r="R285">
        <v>915106</v>
      </c>
      <c r="S285">
        <v>1968276</v>
      </c>
      <c r="T285" s="10">
        <v>0.46492768290999997</v>
      </c>
      <c r="U285" s="1" t="s">
        <v>26</v>
      </c>
    </row>
    <row r="286" spans="1:21" x14ac:dyDescent="0.35">
      <c r="A286" s="1" t="s">
        <v>18</v>
      </c>
      <c r="B286" s="1" t="s">
        <v>19</v>
      </c>
      <c r="C286" s="1" t="s">
        <v>546</v>
      </c>
      <c r="D286" s="1" t="s">
        <v>567</v>
      </c>
      <c r="E286" s="1" t="s">
        <v>21</v>
      </c>
      <c r="F286" s="1" t="s">
        <v>52</v>
      </c>
      <c r="G286" s="1" t="s">
        <v>112</v>
      </c>
      <c r="H286" s="1" t="s">
        <v>53</v>
      </c>
      <c r="I286" s="1" t="s">
        <v>139</v>
      </c>
      <c r="J286">
        <v>1080</v>
      </c>
      <c r="K286" s="9">
        <v>1.1801911473E-3</v>
      </c>
      <c r="L286" s="9">
        <v>0.35259958955999998</v>
      </c>
      <c r="M286">
        <v>322666</v>
      </c>
      <c r="N286">
        <v>384780</v>
      </c>
      <c r="O286" s="9">
        <v>0.42047587930000002</v>
      </c>
      <c r="P286" s="11">
        <f>Telengana_Reaults_2019[[#This Row],[BJP Votes]]-Telengana_Reaults_2019[[#This Row],[Max Votes Other than BJP]]</f>
        <v>62114</v>
      </c>
      <c r="Q286" s="9">
        <f>Telengana_Reaults_2019[[#This Row],[BJP Vote Share]]-Telengana_Reaults_2019[[#This Row],[Max Votes Share other than BJP]]</f>
        <v>6.787628974000004E-2</v>
      </c>
      <c r="R286">
        <v>915106</v>
      </c>
      <c r="S286">
        <v>1968276</v>
      </c>
      <c r="T286" s="10">
        <v>0.46492768290999997</v>
      </c>
      <c r="U286" s="1" t="s">
        <v>26</v>
      </c>
    </row>
    <row r="287" spans="1:21" x14ac:dyDescent="0.35">
      <c r="A287" s="1" t="s">
        <v>18</v>
      </c>
      <c r="B287" s="1" t="s">
        <v>19</v>
      </c>
      <c r="C287" s="1" t="s">
        <v>546</v>
      </c>
      <c r="D287" s="1" t="s">
        <v>568</v>
      </c>
      <c r="E287" s="1" t="s">
        <v>21</v>
      </c>
      <c r="F287" s="1" t="s">
        <v>117</v>
      </c>
      <c r="G287" s="1" t="s">
        <v>112</v>
      </c>
      <c r="H287" s="1" t="s">
        <v>53</v>
      </c>
      <c r="I287" s="1" t="s">
        <v>46</v>
      </c>
      <c r="J287">
        <v>1400</v>
      </c>
      <c r="K287" s="9">
        <v>1.5298774131E-3</v>
      </c>
      <c r="L287" s="9">
        <v>0.35259958955999998</v>
      </c>
      <c r="M287">
        <v>322666</v>
      </c>
      <c r="N287">
        <v>384780</v>
      </c>
      <c r="O287" s="9">
        <v>0.42047587930000002</v>
      </c>
      <c r="P287" s="11">
        <f>Telengana_Reaults_2019[[#This Row],[BJP Votes]]-Telengana_Reaults_2019[[#This Row],[Max Votes Other than BJP]]</f>
        <v>62114</v>
      </c>
      <c r="Q287" s="9">
        <f>Telengana_Reaults_2019[[#This Row],[BJP Vote Share]]-Telengana_Reaults_2019[[#This Row],[Max Votes Share other than BJP]]</f>
        <v>6.787628974000004E-2</v>
      </c>
      <c r="R287">
        <v>915106</v>
      </c>
      <c r="S287">
        <v>1968276</v>
      </c>
      <c r="T287" s="10">
        <v>0.46492768290999997</v>
      </c>
      <c r="U287" s="1" t="s">
        <v>26</v>
      </c>
    </row>
    <row r="288" spans="1:21" x14ac:dyDescent="0.35">
      <c r="A288" s="1" t="s">
        <v>18</v>
      </c>
      <c r="B288" s="1" t="s">
        <v>19</v>
      </c>
      <c r="C288" s="1" t="s">
        <v>546</v>
      </c>
      <c r="D288" s="1" t="s">
        <v>569</v>
      </c>
      <c r="E288" s="1" t="s">
        <v>21</v>
      </c>
      <c r="F288" s="1" t="s">
        <v>71</v>
      </c>
      <c r="G288" s="1" t="s">
        <v>112</v>
      </c>
      <c r="H288" s="1" t="s">
        <v>53</v>
      </c>
      <c r="I288" s="1" t="s">
        <v>398</v>
      </c>
      <c r="J288">
        <v>648</v>
      </c>
      <c r="K288" s="9">
        <v>7.0811468834999997E-4</v>
      </c>
      <c r="L288" s="9">
        <v>0.35259958955999998</v>
      </c>
      <c r="M288">
        <v>322666</v>
      </c>
      <c r="N288">
        <v>384780</v>
      </c>
      <c r="O288" s="9">
        <v>0.42047587930000002</v>
      </c>
      <c r="P288" s="11">
        <f>Telengana_Reaults_2019[[#This Row],[BJP Votes]]-Telengana_Reaults_2019[[#This Row],[Max Votes Other than BJP]]</f>
        <v>62114</v>
      </c>
      <c r="Q288" s="9">
        <f>Telengana_Reaults_2019[[#This Row],[BJP Vote Share]]-Telengana_Reaults_2019[[#This Row],[Max Votes Share other than BJP]]</f>
        <v>6.787628974000004E-2</v>
      </c>
      <c r="R288">
        <v>915106</v>
      </c>
      <c r="S288">
        <v>1968276</v>
      </c>
      <c r="T288" s="10">
        <v>0.46492768290999997</v>
      </c>
      <c r="U288" s="1" t="s">
        <v>26</v>
      </c>
    </row>
    <row r="289" spans="1:21" x14ac:dyDescent="0.35">
      <c r="A289" s="1" t="s">
        <v>18</v>
      </c>
      <c r="B289" s="1" t="s">
        <v>19</v>
      </c>
      <c r="C289" s="1" t="s">
        <v>546</v>
      </c>
      <c r="D289" s="1" t="s">
        <v>570</v>
      </c>
      <c r="E289" s="1" t="s">
        <v>21</v>
      </c>
      <c r="F289" s="1" t="s">
        <v>120</v>
      </c>
      <c r="G289" s="1" t="s">
        <v>112</v>
      </c>
      <c r="H289" s="1" t="s">
        <v>53</v>
      </c>
      <c r="I289" s="1" t="s">
        <v>194</v>
      </c>
      <c r="J289">
        <v>718</v>
      </c>
      <c r="K289" s="9">
        <v>7.8460855900999997E-4</v>
      </c>
      <c r="L289" s="9">
        <v>0.35259958955999998</v>
      </c>
      <c r="M289">
        <v>322666</v>
      </c>
      <c r="N289">
        <v>384780</v>
      </c>
      <c r="O289" s="9">
        <v>0.42047587930000002</v>
      </c>
      <c r="P289" s="11">
        <f>Telengana_Reaults_2019[[#This Row],[BJP Votes]]-Telengana_Reaults_2019[[#This Row],[Max Votes Other than BJP]]</f>
        <v>62114</v>
      </c>
      <c r="Q289" s="9">
        <f>Telengana_Reaults_2019[[#This Row],[BJP Vote Share]]-Telengana_Reaults_2019[[#This Row],[Max Votes Share other than BJP]]</f>
        <v>6.787628974000004E-2</v>
      </c>
      <c r="R289">
        <v>915106</v>
      </c>
      <c r="S289">
        <v>1968276</v>
      </c>
      <c r="T289" s="10">
        <v>0.46492768290999997</v>
      </c>
      <c r="U289" s="1" t="s">
        <v>26</v>
      </c>
    </row>
    <row r="290" spans="1:21" x14ac:dyDescent="0.35">
      <c r="A290" s="1" t="s">
        <v>18</v>
      </c>
      <c r="B290" s="1" t="s">
        <v>19</v>
      </c>
      <c r="C290" s="1" t="s">
        <v>546</v>
      </c>
      <c r="D290" s="1" t="s">
        <v>571</v>
      </c>
      <c r="E290" s="1" t="s">
        <v>35</v>
      </c>
      <c r="F290" s="1" t="s">
        <v>48</v>
      </c>
      <c r="G290" s="1" t="s">
        <v>112</v>
      </c>
      <c r="H290" s="1" t="s">
        <v>53</v>
      </c>
      <c r="I290" s="1" t="s">
        <v>153</v>
      </c>
      <c r="J290">
        <v>421</v>
      </c>
      <c r="K290" s="9">
        <v>4.6005599350999998E-4</v>
      </c>
      <c r="L290" s="9">
        <v>0.35259958955999998</v>
      </c>
      <c r="M290">
        <v>322666</v>
      </c>
      <c r="N290">
        <v>384780</v>
      </c>
      <c r="O290" s="9">
        <v>0.42047587930000002</v>
      </c>
      <c r="P290" s="11">
        <f>Telengana_Reaults_2019[[#This Row],[BJP Votes]]-Telengana_Reaults_2019[[#This Row],[Max Votes Other than BJP]]</f>
        <v>62114</v>
      </c>
      <c r="Q290" s="9">
        <f>Telengana_Reaults_2019[[#This Row],[BJP Vote Share]]-Telengana_Reaults_2019[[#This Row],[Max Votes Share other than BJP]]</f>
        <v>6.787628974000004E-2</v>
      </c>
      <c r="R290">
        <v>915106</v>
      </c>
      <c r="S290">
        <v>1968276</v>
      </c>
      <c r="T290" s="10">
        <v>0.46492768290999997</v>
      </c>
      <c r="U290" s="1" t="s">
        <v>26</v>
      </c>
    </row>
    <row r="291" spans="1:21" x14ac:dyDescent="0.35">
      <c r="A291" s="1" t="s">
        <v>18</v>
      </c>
      <c r="B291" s="1" t="s">
        <v>19</v>
      </c>
      <c r="C291" s="1" t="s">
        <v>546</v>
      </c>
      <c r="D291" s="1" t="s">
        <v>572</v>
      </c>
      <c r="E291" s="1" t="s">
        <v>21</v>
      </c>
      <c r="F291" s="1" t="s">
        <v>200</v>
      </c>
      <c r="G291" s="1" t="s">
        <v>67</v>
      </c>
      <c r="H291" s="1" t="s">
        <v>53</v>
      </c>
      <c r="I291" s="1" t="s">
        <v>232</v>
      </c>
      <c r="J291">
        <v>333</v>
      </c>
      <c r="K291" s="9">
        <v>3.6389227040000002E-4</v>
      </c>
      <c r="L291" s="9">
        <v>0.35259958955999998</v>
      </c>
      <c r="M291">
        <v>322666</v>
      </c>
      <c r="N291">
        <v>384780</v>
      </c>
      <c r="O291" s="9">
        <v>0.42047587930000002</v>
      </c>
      <c r="P291" s="11">
        <f>Telengana_Reaults_2019[[#This Row],[BJP Votes]]-Telengana_Reaults_2019[[#This Row],[Max Votes Other than BJP]]</f>
        <v>62114</v>
      </c>
      <c r="Q291" s="9">
        <f>Telengana_Reaults_2019[[#This Row],[BJP Vote Share]]-Telengana_Reaults_2019[[#This Row],[Max Votes Share other than BJP]]</f>
        <v>6.787628974000004E-2</v>
      </c>
      <c r="R291">
        <v>915106</v>
      </c>
      <c r="S291">
        <v>1968276</v>
      </c>
      <c r="T291" s="10">
        <v>0.46492768290999997</v>
      </c>
      <c r="U291" s="1" t="s">
        <v>26</v>
      </c>
    </row>
    <row r="292" spans="1:21" x14ac:dyDescent="0.35">
      <c r="A292" s="1" t="s">
        <v>18</v>
      </c>
      <c r="B292" s="1" t="s">
        <v>19</v>
      </c>
      <c r="C292" s="1" t="s">
        <v>546</v>
      </c>
      <c r="D292" s="1" t="s">
        <v>573</v>
      </c>
      <c r="E292" s="1" t="s">
        <v>21</v>
      </c>
      <c r="F292" s="1" t="s">
        <v>80</v>
      </c>
      <c r="G292" s="1" t="s">
        <v>112</v>
      </c>
      <c r="H292" s="1" t="s">
        <v>53</v>
      </c>
      <c r="I292" s="1" t="s">
        <v>491</v>
      </c>
      <c r="J292">
        <v>217</v>
      </c>
      <c r="K292" s="9">
        <v>2.3713099903E-4</v>
      </c>
      <c r="L292" s="9">
        <v>0.35259958955999998</v>
      </c>
      <c r="M292">
        <v>322666</v>
      </c>
      <c r="N292">
        <v>384780</v>
      </c>
      <c r="O292" s="9">
        <v>0.42047587930000002</v>
      </c>
      <c r="P292" s="11">
        <f>Telengana_Reaults_2019[[#This Row],[BJP Votes]]-Telengana_Reaults_2019[[#This Row],[Max Votes Other than BJP]]</f>
        <v>62114</v>
      </c>
      <c r="Q292" s="9">
        <f>Telengana_Reaults_2019[[#This Row],[BJP Vote Share]]-Telengana_Reaults_2019[[#This Row],[Max Votes Share other than BJP]]</f>
        <v>6.787628974000004E-2</v>
      </c>
      <c r="R292">
        <v>915106</v>
      </c>
      <c r="S292">
        <v>1968276</v>
      </c>
      <c r="T292" s="10">
        <v>0.46492768290999997</v>
      </c>
      <c r="U292" s="1" t="s">
        <v>26</v>
      </c>
    </row>
    <row r="293" spans="1:21" x14ac:dyDescent="0.35">
      <c r="A293" s="1" t="s">
        <v>18</v>
      </c>
      <c r="B293" s="1" t="s">
        <v>19</v>
      </c>
      <c r="C293" s="1" t="s">
        <v>546</v>
      </c>
      <c r="D293" s="1" t="s">
        <v>574</v>
      </c>
      <c r="E293" s="1" t="s">
        <v>21</v>
      </c>
      <c r="F293" s="1" t="s">
        <v>155</v>
      </c>
      <c r="G293" s="1" t="s">
        <v>112</v>
      </c>
      <c r="H293" s="1" t="s">
        <v>53</v>
      </c>
      <c r="I293" s="1" t="s">
        <v>136</v>
      </c>
      <c r="J293">
        <v>630</v>
      </c>
      <c r="K293" s="9">
        <v>6.8844483590000001E-4</v>
      </c>
      <c r="L293" s="9">
        <v>0.35259958955999998</v>
      </c>
      <c r="M293">
        <v>322666</v>
      </c>
      <c r="N293">
        <v>384780</v>
      </c>
      <c r="O293" s="9">
        <v>0.42047587930000002</v>
      </c>
      <c r="P293" s="11">
        <f>Telengana_Reaults_2019[[#This Row],[BJP Votes]]-Telengana_Reaults_2019[[#This Row],[Max Votes Other than BJP]]</f>
        <v>62114</v>
      </c>
      <c r="Q293" s="9">
        <f>Telengana_Reaults_2019[[#This Row],[BJP Vote Share]]-Telengana_Reaults_2019[[#This Row],[Max Votes Share other than BJP]]</f>
        <v>6.787628974000004E-2</v>
      </c>
      <c r="R293">
        <v>915106</v>
      </c>
      <c r="S293">
        <v>1968276</v>
      </c>
      <c r="T293" s="10">
        <v>0.46492768290999997</v>
      </c>
      <c r="U293" s="1" t="s">
        <v>26</v>
      </c>
    </row>
    <row r="294" spans="1:21" x14ac:dyDescent="0.35">
      <c r="A294" s="1" t="s">
        <v>18</v>
      </c>
      <c r="B294" s="1" t="s">
        <v>19</v>
      </c>
      <c r="C294" s="1" t="s">
        <v>546</v>
      </c>
      <c r="D294" s="1" t="s">
        <v>575</v>
      </c>
      <c r="E294" s="1" t="s">
        <v>21</v>
      </c>
      <c r="F294" s="1" t="s">
        <v>71</v>
      </c>
      <c r="G294" s="1" t="s">
        <v>112</v>
      </c>
      <c r="H294" s="1" t="s">
        <v>53</v>
      </c>
      <c r="I294" s="1" t="s">
        <v>489</v>
      </c>
      <c r="J294">
        <v>217</v>
      </c>
      <c r="K294" s="9">
        <v>2.3713099903E-4</v>
      </c>
      <c r="L294" s="9">
        <v>0.35259958955999998</v>
      </c>
      <c r="M294">
        <v>322666</v>
      </c>
      <c r="N294">
        <v>384780</v>
      </c>
      <c r="O294" s="9">
        <v>0.42047587930000002</v>
      </c>
      <c r="P294" s="11">
        <f>Telengana_Reaults_2019[[#This Row],[BJP Votes]]-Telengana_Reaults_2019[[#This Row],[Max Votes Other than BJP]]</f>
        <v>62114</v>
      </c>
      <c r="Q294" s="9">
        <f>Telengana_Reaults_2019[[#This Row],[BJP Vote Share]]-Telengana_Reaults_2019[[#This Row],[Max Votes Share other than BJP]]</f>
        <v>6.787628974000004E-2</v>
      </c>
      <c r="R294">
        <v>915106</v>
      </c>
      <c r="S294">
        <v>1968276</v>
      </c>
      <c r="T294" s="10">
        <v>0.46492768290999997</v>
      </c>
      <c r="U294" s="1" t="s">
        <v>26</v>
      </c>
    </row>
    <row r="295" spans="1:21" x14ac:dyDescent="0.35">
      <c r="A295" s="1" t="s">
        <v>18</v>
      </c>
      <c r="B295" s="1" t="s">
        <v>19</v>
      </c>
      <c r="C295" s="1" t="s">
        <v>546</v>
      </c>
      <c r="D295" s="1" t="s">
        <v>576</v>
      </c>
      <c r="E295" s="1" t="s">
        <v>21</v>
      </c>
      <c r="F295" s="1" t="s">
        <v>200</v>
      </c>
      <c r="G295" s="1" t="s">
        <v>112</v>
      </c>
      <c r="H295" s="1" t="s">
        <v>53</v>
      </c>
      <c r="I295" s="1" t="s">
        <v>93</v>
      </c>
      <c r="J295">
        <v>557</v>
      </c>
      <c r="K295" s="9">
        <v>6.0867265649999997E-4</v>
      </c>
      <c r="L295" s="9">
        <v>0.35259958955999998</v>
      </c>
      <c r="M295">
        <v>322666</v>
      </c>
      <c r="N295">
        <v>384780</v>
      </c>
      <c r="O295" s="9">
        <v>0.42047587930000002</v>
      </c>
      <c r="P295" s="11">
        <f>Telengana_Reaults_2019[[#This Row],[BJP Votes]]-Telengana_Reaults_2019[[#This Row],[Max Votes Other than BJP]]</f>
        <v>62114</v>
      </c>
      <c r="Q295" s="9">
        <f>Telengana_Reaults_2019[[#This Row],[BJP Vote Share]]-Telengana_Reaults_2019[[#This Row],[Max Votes Share other than BJP]]</f>
        <v>6.787628974000004E-2</v>
      </c>
      <c r="R295">
        <v>915106</v>
      </c>
      <c r="S295">
        <v>1968276</v>
      </c>
      <c r="T295" s="10">
        <v>0.46492768290999997</v>
      </c>
      <c r="U295" s="1" t="s">
        <v>26</v>
      </c>
    </row>
    <row r="296" spans="1:21" x14ac:dyDescent="0.35">
      <c r="A296" s="1" t="s">
        <v>18</v>
      </c>
      <c r="B296" s="1" t="s">
        <v>19</v>
      </c>
      <c r="C296" s="1" t="s">
        <v>546</v>
      </c>
      <c r="D296" s="1" t="s">
        <v>577</v>
      </c>
      <c r="E296" s="1" t="s">
        <v>21</v>
      </c>
      <c r="F296" s="1" t="s">
        <v>99</v>
      </c>
      <c r="G296" s="1" t="s">
        <v>67</v>
      </c>
      <c r="H296" s="1" t="s">
        <v>53</v>
      </c>
      <c r="I296" s="1" t="s">
        <v>184</v>
      </c>
      <c r="J296">
        <v>1493</v>
      </c>
      <c r="K296" s="9">
        <v>1.6315049841E-3</v>
      </c>
      <c r="L296" s="9">
        <v>0.35259958955999998</v>
      </c>
      <c r="M296">
        <v>322666</v>
      </c>
      <c r="N296">
        <v>384780</v>
      </c>
      <c r="O296" s="9">
        <v>0.42047587930000002</v>
      </c>
      <c r="P296" s="11">
        <f>Telengana_Reaults_2019[[#This Row],[BJP Votes]]-Telengana_Reaults_2019[[#This Row],[Max Votes Other than BJP]]</f>
        <v>62114</v>
      </c>
      <c r="Q296" s="9">
        <f>Telengana_Reaults_2019[[#This Row],[BJP Vote Share]]-Telengana_Reaults_2019[[#This Row],[Max Votes Share other than BJP]]</f>
        <v>6.787628974000004E-2</v>
      </c>
      <c r="R296">
        <v>915106</v>
      </c>
      <c r="S296">
        <v>1968276</v>
      </c>
      <c r="T296" s="10">
        <v>0.46492768290999997</v>
      </c>
      <c r="U296" s="1" t="s">
        <v>26</v>
      </c>
    </row>
    <row r="297" spans="1:21" x14ac:dyDescent="0.35">
      <c r="A297" s="1" t="s">
        <v>18</v>
      </c>
      <c r="B297" s="1" t="s">
        <v>19</v>
      </c>
      <c r="C297" s="1" t="s">
        <v>546</v>
      </c>
      <c r="D297" s="1" t="s">
        <v>578</v>
      </c>
      <c r="E297" s="1" t="s">
        <v>21</v>
      </c>
      <c r="F297" s="1" t="s">
        <v>48</v>
      </c>
      <c r="G297" s="1" t="s">
        <v>23</v>
      </c>
      <c r="H297" s="1" t="s">
        <v>53</v>
      </c>
      <c r="I297" s="1" t="s">
        <v>208</v>
      </c>
      <c r="J297">
        <v>565</v>
      </c>
      <c r="K297" s="9">
        <v>6.1741481314999997E-4</v>
      </c>
      <c r="L297" s="9">
        <v>0.35259958955999998</v>
      </c>
      <c r="M297">
        <v>322666</v>
      </c>
      <c r="N297">
        <v>384780</v>
      </c>
      <c r="O297" s="9">
        <v>0.42047587930000002</v>
      </c>
      <c r="P297" s="11">
        <f>Telengana_Reaults_2019[[#This Row],[BJP Votes]]-Telengana_Reaults_2019[[#This Row],[Max Votes Other than BJP]]</f>
        <v>62114</v>
      </c>
      <c r="Q297" s="9">
        <f>Telengana_Reaults_2019[[#This Row],[BJP Vote Share]]-Telengana_Reaults_2019[[#This Row],[Max Votes Share other than BJP]]</f>
        <v>6.787628974000004E-2</v>
      </c>
      <c r="R297">
        <v>915106</v>
      </c>
      <c r="S297">
        <v>1968276</v>
      </c>
      <c r="T297" s="10">
        <v>0.46492768290999997</v>
      </c>
      <c r="U297" s="1" t="s">
        <v>26</v>
      </c>
    </row>
    <row r="298" spans="1:21" x14ac:dyDescent="0.35">
      <c r="A298" s="1" t="s">
        <v>18</v>
      </c>
      <c r="B298" s="1" t="s">
        <v>19</v>
      </c>
      <c r="C298" s="1" t="s">
        <v>546</v>
      </c>
      <c r="D298" s="1" t="s">
        <v>579</v>
      </c>
      <c r="E298" s="1" t="s">
        <v>21</v>
      </c>
      <c r="F298" s="1" t="s">
        <v>234</v>
      </c>
      <c r="G298" s="1" t="s">
        <v>67</v>
      </c>
      <c r="H298" s="1" t="s">
        <v>53</v>
      </c>
      <c r="I298" s="1" t="s">
        <v>457</v>
      </c>
      <c r="J298">
        <v>484</v>
      </c>
      <c r="K298" s="9">
        <v>5.2890047710000003E-4</v>
      </c>
      <c r="L298" s="9">
        <v>0.35259958955999998</v>
      </c>
      <c r="M298">
        <v>322666</v>
      </c>
      <c r="N298">
        <v>384780</v>
      </c>
      <c r="O298" s="9">
        <v>0.42047587930000002</v>
      </c>
      <c r="P298" s="11">
        <f>Telengana_Reaults_2019[[#This Row],[BJP Votes]]-Telengana_Reaults_2019[[#This Row],[Max Votes Other than BJP]]</f>
        <v>62114</v>
      </c>
      <c r="Q298" s="9">
        <f>Telengana_Reaults_2019[[#This Row],[BJP Vote Share]]-Telengana_Reaults_2019[[#This Row],[Max Votes Share other than BJP]]</f>
        <v>6.787628974000004E-2</v>
      </c>
      <c r="R298">
        <v>915106</v>
      </c>
      <c r="S298">
        <v>1968276</v>
      </c>
      <c r="T298" s="10">
        <v>0.46492768290999997</v>
      </c>
      <c r="U298" s="1" t="s">
        <v>26</v>
      </c>
    </row>
    <row r="299" spans="1:21" x14ac:dyDescent="0.35">
      <c r="A299" s="1" t="s">
        <v>18</v>
      </c>
      <c r="B299" s="1" t="s">
        <v>19</v>
      </c>
      <c r="C299" s="1" t="s">
        <v>546</v>
      </c>
      <c r="D299" s="1" t="s">
        <v>64</v>
      </c>
      <c r="E299" s="1" t="s">
        <v>64</v>
      </c>
      <c r="F299" s="1" t="s">
        <v>64</v>
      </c>
      <c r="G299" s="1" t="s">
        <v>64</v>
      </c>
      <c r="H299" s="1" t="s">
        <v>64</v>
      </c>
      <c r="I299" s="1" t="s">
        <v>64</v>
      </c>
      <c r="J299">
        <v>9038</v>
      </c>
      <c r="K299" s="9">
        <v>9.8764514712000005E-3</v>
      </c>
      <c r="L299" s="9">
        <v>0.35259958955999998</v>
      </c>
      <c r="M299">
        <v>322666</v>
      </c>
      <c r="N299">
        <v>384780</v>
      </c>
      <c r="O299" s="9">
        <v>0.42047587930000002</v>
      </c>
      <c r="P299" s="11">
        <f>Telengana_Reaults_2019[[#This Row],[BJP Votes]]-Telengana_Reaults_2019[[#This Row],[Max Votes Other than BJP]]</f>
        <v>62114</v>
      </c>
      <c r="Q299" s="9">
        <f>Telengana_Reaults_2019[[#This Row],[BJP Vote Share]]-Telengana_Reaults_2019[[#This Row],[Max Votes Share other than BJP]]</f>
        <v>6.787628974000004E-2</v>
      </c>
      <c r="R299">
        <v>915106</v>
      </c>
      <c r="S299">
        <v>1968276</v>
      </c>
      <c r="T299" s="10">
        <v>0.46492768290999997</v>
      </c>
      <c r="U299" s="1" t="s">
        <v>26</v>
      </c>
    </row>
    <row r="300" spans="1:21" x14ac:dyDescent="0.35">
      <c r="A300" s="1" t="s">
        <v>18</v>
      </c>
      <c r="B300" s="1" t="s">
        <v>19</v>
      </c>
      <c r="C300" s="1" t="s">
        <v>580</v>
      </c>
      <c r="D300" s="1" t="s">
        <v>581</v>
      </c>
      <c r="E300" s="1" t="s">
        <v>21</v>
      </c>
      <c r="F300" s="1" t="s">
        <v>234</v>
      </c>
      <c r="G300" s="1" t="s">
        <v>112</v>
      </c>
      <c r="H300" s="1" t="s">
        <v>582</v>
      </c>
      <c r="I300" s="1" t="s">
        <v>583</v>
      </c>
      <c r="J300">
        <v>517471</v>
      </c>
      <c r="K300" s="9">
        <v>0.58946065030000006</v>
      </c>
      <c r="L300" s="9">
        <v>0.58946065030000006</v>
      </c>
      <c r="M300">
        <v>517471</v>
      </c>
      <c r="N300">
        <v>235285</v>
      </c>
      <c r="O300" s="9">
        <v>0.26801743306999998</v>
      </c>
      <c r="P300" s="11">
        <f>Telengana_Reaults_2019[[#This Row],[BJP Votes]]-Telengana_Reaults_2019[[#This Row],[Max Votes Other than BJP]]</f>
        <v>-282186</v>
      </c>
      <c r="Q300" s="9">
        <f>Telengana_Reaults_2019[[#This Row],[BJP Vote Share]]-Telengana_Reaults_2019[[#This Row],[Max Votes Share other than BJP]]</f>
        <v>-0.32144321723000008</v>
      </c>
      <c r="R300">
        <v>877872</v>
      </c>
      <c r="S300">
        <v>1957931</v>
      </c>
      <c r="T300" s="10">
        <v>0.44836717943999999</v>
      </c>
      <c r="U300" s="1" t="s">
        <v>68</v>
      </c>
    </row>
    <row r="301" spans="1:21" x14ac:dyDescent="0.35">
      <c r="A301" s="1" t="s">
        <v>18</v>
      </c>
      <c r="B301" s="1" t="s">
        <v>19</v>
      </c>
      <c r="C301" s="1" t="s">
        <v>580</v>
      </c>
      <c r="D301" s="1" t="s">
        <v>584</v>
      </c>
      <c r="E301" s="1" t="s">
        <v>21</v>
      </c>
      <c r="F301" s="1" t="s">
        <v>62</v>
      </c>
      <c r="G301" s="1" t="s">
        <v>112</v>
      </c>
      <c r="H301" s="1" t="s">
        <v>24</v>
      </c>
      <c r="I301" s="1" t="s">
        <v>25</v>
      </c>
      <c r="J301">
        <v>63239</v>
      </c>
      <c r="K301" s="9">
        <v>7.2036697832999999E-2</v>
      </c>
      <c r="L301" s="9">
        <v>0.58946065030000006</v>
      </c>
      <c r="M301">
        <v>517471</v>
      </c>
      <c r="N301">
        <v>235285</v>
      </c>
      <c r="O301" s="9">
        <v>0.26801743306999998</v>
      </c>
      <c r="P301" s="11">
        <f>Telengana_Reaults_2019[[#This Row],[BJP Votes]]-Telengana_Reaults_2019[[#This Row],[Max Votes Other than BJP]]</f>
        <v>-282186</v>
      </c>
      <c r="Q301" s="9">
        <f>Telengana_Reaults_2019[[#This Row],[BJP Vote Share]]-Telengana_Reaults_2019[[#This Row],[Max Votes Share other than BJP]]</f>
        <v>-0.32144321723000008</v>
      </c>
      <c r="R301">
        <v>877872</v>
      </c>
      <c r="S301">
        <v>1957931</v>
      </c>
      <c r="T301" s="10">
        <v>0.44836717943999999</v>
      </c>
      <c r="U301" s="1" t="s">
        <v>68</v>
      </c>
    </row>
    <row r="302" spans="1:21" x14ac:dyDescent="0.35">
      <c r="A302" s="1" t="s">
        <v>18</v>
      </c>
      <c r="B302" s="1" t="s">
        <v>19</v>
      </c>
      <c r="C302" s="1" t="s">
        <v>580</v>
      </c>
      <c r="D302" s="1" t="s">
        <v>585</v>
      </c>
      <c r="E302" s="1" t="s">
        <v>21</v>
      </c>
      <c r="F302" s="1" t="s">
        <v>353</v>
      </c>
      <c r="G302" s="1" t="s">
        <v>112</v>
      </c>
      <c r="H302" s="1" t="s">
        <v>32</v>
      </c>
      <c r="I302" s="1" t="s">
        <v>33</v>
      </c>
      <c r="J302">
        <v>235285</v>
      </c>
      <c r="K302" s="9">
        <v>0.26801743306999998</v>
      </c>
      <c r="L302" s="9">
        <v>0.58946065030000006</v>
      </c>
      <c r="M302">
        <v>517471</v>
      </c>
      <c r="N302">
        <v>235285</v>
      </c>
      <c r="O302" s="9">
        <v>0.26801743306999998</v>
      </c>
      <c r="P302" s="11">
        <f>Telengana_Reaults_2019[[#This Row],[BJP Votes]]-Telengana_Reaults_2019[[#This Row],[Max Votes Other than BJP]]</f>
        <v>-282186</v>
      </c>
      <c r="Q302" s="9">
        <f>Telengana_Reaults_2019[[#This Row],[BJP Vote Share]]-Telengana_Reaults_2019[[#This Row],[Max Votes Share other than BJP]]</f>
        <v>-0.32144321723000008</v>
      </c>
      <c r="R302">
        <v>877872</v>
      </c>
      <c r="S302">
        <v>1957931</v>
      </c>
      <c r="T302" s="10">
        <v>0.44836717943999999</v>
      </c>
      <c r="U302" s="1" t="s">
        <v>68</v>
      </c>
    </row>
    <row r="303" spans="1:21" x14ac:dyDescent="0.35">
      <c r="A303" s="1" t="s">
        <v>18</v>
      </c>
      <c r="B303" s="1" t="s">
        <v>19</v>
      </c>
      <c r="C303" s="1" t="s">
        <v>580</v>
      </c>
      <c r="D303" s="1" t="s">
        <v>586</v>
      </c>
      <c r="E303" s="1" t="s">
        <v>21</v>
      </c>
      <c r="F303" s="1" t="s">
        <v>62</v>
      </c>
      <c r="G303" s="1" t="s">
        <v>112</v>
      </c>
      <c r="H303" s="1" t="s">
        <v>29</v>
      </c>
      <c r="I303" s="1" t="s">
        <v>30</v>
      </c>
      <c r="J303">
        <v>49944</v>
      </c>
      <c r="K303" s="9">
        <v>5.6892120946999997E-2</v>
      </c>
      <c r="L303" s="9">
        <v>0.58946065030000006</v>
      </c>
      <c r="M303">
        <v>517471</v>
      </c>
      <c r="N303">
        <v>235285</v>
      </c>
      <c r="O303" s="9">
        <v>0.26801743306999998</v>
      </c>
      <c r="P303" s="11">
        <f>Telengana_Reaults_2019[[#This Row],[BJP Votes]]-Telengana_Reaults_2019[[#This Row],[Max Votes Other than BJP]]</f>
        <v>-282186</v>
      </c>
      <c r="Q303" s="9">
        <f>Telengana_Reaults_2019[[#This Row],[BJP Vote Share]]-Telengana_Reaults_2019[[#This Row],[Max Votes Share other than BJP]]</f>
        <v>-0.32144321723000008</v>
      </c>
      <c r="R303">
        <v>877872</v>
      </c>
      <c r="S303">
        <v>1957931</v>
      </c>
      <c r="T303" s="10">
        <v>0.44836717943999999</v>
      </c>
      <c r="U303" s="1" t="s">
        <v>68</v>
      </c>
    </row>
    <row r="304" spans="1:21" x14ac:dyDescent="0.35">
      <c r="A304" s="1" t="s">
        <v>18</v>
      </c>
      <c r="B304" s="1" t="s">
        <v>19</v>
      </c>
      <c r="C304" s="1" t="s">
        <v>580</v>
      </c>
      <c r="D304" s="1" t="s">
        <v>553</v>
      </c>
      <c r="E304" s="1" t="s">
        <v>21</v>
      </c>
      <c r="F304" s="1" t="s">
        <v>71</v>
      </c>
      <c r="G304" s="1" t="s">
        <v>112</v>
      </c>
      <c r="H304" s="1" t="s">
        <v>554</v>
      </c>
      <c r="I304" s="1" t="s">
        <v>299</v>
      </c>
      <c r="J304">
        <v>699</v>
      </c>
      <c r="K304" s="9">
        <v>7.9624364372000002E-4</v>
      </c>
      <c r="L304" s="9">
        <v>0.58946065030000006</v>
      </c>
      <c r="M304">
        <v>517471</v>
      </c>
      <c r="N304">
        <v>235285</v>
      </c>
      <c r="O304" s="9">
        <v>0.26801743306999998</v>
      </c>
      <c r="P304" s="11">
        <f>Telengana_Reaults_2019[[#This Row],[BJP Votes]]-Telengana_Reaults_2019[[#This Row],[Max Votes Other than BJP]]</f>
        <v>-282186</v>
      </c>
      <c r="Q304" s="9">
        <f>Telengana_Reaults_2019[[#This Row],[BJP Vote Share]]-Telengana_Reaults_2019[[#This Row],[Max Votes Share other than BJP]]</f>
        <v>-0.32144321723000008</v>
      </c>
      <c r="R304">
        <v>877872</v>
      </c>
      <c r="S304">
        <v>1957931</v>
      </c>
      <c r="T304" s="10">
        <v>0.44836717943999999</v>
      </c>
      <c r="U304" s="1" t="s">
        <v>68</v>
      </c>
    </row>
    <row r="305" spans="1:21" x14ac:dyDescent="0.35">
      <c r="A305" s="1" t="s">
        <v>18</v>
      </c>
      <c r="B305" s="1" t="s">
        <v>19</v>
      </c>
      <c r="C305" s="1" t="s">
        <v>580</v>
      </c>
      <c r="D305" s="1" t="s">
        <v>587</v>
      </c>
      <c r="E305" s="1" t="s">
        <v>21</v>
      </c>
      <c r="F305" s="1" t="s">
        <v>234</v>
      </c>
      <c r="G305" s="1" t="s">
        <v>112</v>
      </c>
      <c r="H305" s="1" t="s">
        <v>126</v>
      </c>
      <c r="I305" s="1" t="s">
        <v>127</v>
      </c>
      <c r="J305">
        <v>408</v>
      </c>
      <c r="K305" s="9">
        <v>4.6476023839E-4</v>
      </c>
      <c r="L305" s="9">
        <v>0.58946065030000006</v>
      </c>
      <c r="M305">
        <v>517471</v>
      </c>
      <c r="N305">
        <v>235285</v>
      </c>
      <c r="O305" s="9">
        <v>0.26801743306999998</v>
      </c>
      <c r="P305" s="11">
        <f>Telengana_Reaults_2019[[#This Row],[BJP Votes]]-Telengana_Reaults_2019[[#This Row],[Max Votes Other than BJP]]</f>
        <v>-282186</v>
      </c>
      <c r="Q305" s="9">
        <f>Telengana_Reaults_2019[[#This Row],[BJP Vote Share]]-Telengana_Reaults_2019[[#This Row],[Max Votes Share other than BJP]]</f>
        <v>-0.32144321723000008</v>
      </c>
      <c r="R305">
        <v>877872</v>
      </c>
      <c r="S305">
        <v>1957931</v>
      </c>
      <c r="T305" s="10">
        <v>0.44836717943999999</v>
      </c>
      <c r="U305" s="1" t="s">
        <v>68</v>
      </c>
    </row>
    <row r="306" spans="1:21" x14ac:dyDescent="0.35">
      <c r="A306" s="1" t="s">
        <v>18</v>
      </c>
      <c r="B306" s="1" t="s">
        <v>19</v>
      </c>
      <c r="C306" s="1" t="s">
        <v>580</v>
      </c>
      <c r="D306" s="1" t="s">
        <v>588</v>
      </c>
      <c r="E306" s="1" t="s">
        <v>21</v>
      </c>
      <c r="F306" s="1" t="s">
        <v>234</v>
      </c>
      <c r="G306" s="1" t="s">
        <v>67</v>
      </c>
      <c r="H306" s="1" t="s">
        <v>53</v>
      </c>
      <c r="I306" s="1" t="s">
        <v>398</v>
      </c>
      <c r="J306">
        <v>416</v>
      </c>
      <c r="K306" s="9">
        <v>4.7387318425E-4</v>
      </c>
      <c r="L306" s="9">
        <v>0.58946065030000006</v>
      </c>
      <c r="M306">
        <v>517471</v>
      </c>
      <c r="N306">
        <v>235285</v>
      </c>
      <c r="O306" s="9">
        <v>0.26801743306999998</v>
      </c>
      <c r="P306" s="11">
        <f>Telengana_Reaults_2019[[#This Row],[BJP Votes]]-Telengana_Reaults_2019[[#This Row],[Max Votes Other than BJP]]</f>
        <v>-282186</v>
      </c>
      <c r="Q306" s="9">
        <f>Telengana_Reaults_2019[[#This Row],[BJP Vote Share]]-Telengana_Reaults_2019[[#This Row],[Max Votes Share other than BJP]]</f>
        <v>-0.32144321723000008</v>
      </c>
      <c r="R306">
        <v>877872</v>
      </c>
      <c r="S306">
        <v>1957931</v>
      </c>
      <c r="T306" s="10">
        <v>0.44836717943999999</v>
      </c>
      <c r="U306" s="1" t="s">
        <v>68</v>
      </c>
    </row>
    <row r="307" spans="1:21" x14ac:dyDescent="0.35">
      <c r="A307" s="1" t="s">
        <v>18</v>
      </c>
      <c r="B307" s="1" t="s">
        <v>19</v>
      </c>
      <c r="C307" s="1" t="s">
        <v>580</v>
      </c>
      <c r="D307" s="1" t="s">
        <v>589</v>
      </c>
      <c r="E307" s="1" t="s">
        <v>21</v>
      </c>
      <c r="F307" s="1" t="s">
        <v>120</v>
      </c>
      <c r="G307" s="1" t="s">
        <v>112</v>
      </c>
      <c r="H307" s="1" t="s">
        <v>53</v>
      </c>
      <c r="I307" s="1" t="s">
        <v>153</v>
      </c>
      <c r="J307">
        <v>414</v>
      </c>
      <c r="K307" s="9">
        <v>4.7159494777999997E-4</v>
      </c>
      <c r="L307" s="9">
        <v>0.58946065030000006</v>
      </c>
      <c r="M307">
        <v>517471</v>
      </c>
      <c r="N307">
        <v>235285</v>
      </c>
      <c r="O307" s="9">
        <v>0.26801743306999998</v>
      </c>
      <c r="P307" s="11">
        <f>Telengana_Reaults_2019[[#This Row],[BJP Votes]]-Telengana_Reaults_2019[[#This Row],[Max Votes Other than BJP]]</f>
        <v>-282186</v>
      </c>
      <c r="Q307" s="9">
        <f>Telengana_Reaults_2019[[#This Row],[BJP Vote Share]]-Telengana_Reaults_2019[[#This Row],[Max Votes Share other than BJP]]</f>
        <v>-0.32144321723000008</v>
      </c>
      <c r="R307">
        <v>877872</v>
      </c>
      <c r="S307">
        <v>1957931</v>
      </c>
      <c r="T307" s="10">
        <v>0.44836717943999999</v>
      </c>
      <c r="U307" s="1" t="s">
        <v>68</v>
      </c>
    </row>
    <row r="308" spans="1:21" x14ac:dyDescent="0.35">
      <c r="A308" s="1" t="s">
        <v>18</v>
      </c>
      <c r="B308" s="1" t="s">
        <v>19</v>
      </c>
      <c r="C308" s="1" t="s">
        <v>580</v>
      </c>
      <c r="D308" s="1" t="s">
        <v>590</v>
      </c>
      <c r="E308" s="1" t="s">
        <v>21</v>
      </c>
      <c r="F308" s="1" t="s">
        <v>165</v>
      </c>
      <c r="G308" s="1" t="s">
        <v>67</v>
      </c>
      <c r="H308" s="1" t="s">
        <v>53</v>
      </c>
      <c r="I308" s="1" t="s">
        <v>139</v>
      </c>
      <c r="J308">
        <v>433</v>
      </c>
      <c r="K308" s="9">
        <v>4.9323819418E-4</v>
      </c>
      <c r="L308" s="9">
        <v>0.58946065030000006</v>
      </c>
      <c r="M308">
        <v>517471</v>
      </c>
      <c r="N308">
        <v>235285</v>
      </c>
      <c r="O308" s="9">
        <v>0.26801743306999998</v>
      </c>
      <c r="P308" s="11">
        <f>Telengana_Reaults_2019[[#This Row],[BJP Votes]]-Telengana_Reaults_2019[[#This Row],[Max Votes Other than BJP]]</f>
        <v>-282186</v>
      </c>
      <c r="Q308" s="9">
        <f>Telengana_Reaults_2019[[#This Row],[BJP Vote Share]]-Telengana_Reaults_2019[[#This Row],[Max Votes Share other than BJP]]</f>
        <v>-0.32144321723000008</v>
      </c>
      <c r="R308">
        <v>877872</v>
      </c>
      <c r="S308">
        <v>1957931</v>
      </c>
      <c r="T308" s="10">
        <v>0.44836717943999999</v>
      </c>
      <c r="U308" s="1" t="s">
        <v>68</v>
      </c>
    </row>
    <row r="309" spans="1:21" x14ac:dyDescent="0.35">
      <c r="A309" s="1" t="s">
        <v>18</v>
      </c>
      <c r="B309" s="1" t="s">
        <v>19</v>
      </c>
      <c r="C309" s="1" t="s">
        <v>580</v>
      </c>
      <c r="D309" s="1" t="s">
        <v>591</v>
      </c>
      <c r="E309" s="1" t="s">
        <v>21</v>
      </c>
      <c r="F309" s="1" t="s">
        <v>115</v>
      </c>
      <c r="G309" s="1" t="s">
        <v>112</v>
      </c>
      <c r="H309" s="1" t="s">
        <v>53</v>
      </c>
      <c r="I309" s="1" t="s">
        <v>194</v>
      </c>
      <c r="J309">
        <v>399</v>
      </c>
      <c r="K309" s="9">
        <v>4.5450817430999998E-4</v>
      </c>
      <c r="L309" s="9">
        <v>0.58946065030000006</v>
      </c>
      <c r="M309">
        <v>517471</v>
      </c>
      <c r="N309">
        <v>235285</v>
      </c>
      <c r="O309" s="9">
        <v>0.26801743306999998</v>
      </c>
      <c r="P309" s="11">
        <f>Telengana_Reaults_2019[[#This Row],[BJP Votes]]-Telengana_Reaults_2019[[#This Row],[Max Votes Other than BJP]]</f>
        <v>-282186</v>
      </c>
      <c r="Q309" s="9">
        <f>Telengana_Reaults_2019[[#This Row],[BJP Vote Share]]-Telengana_Reaults_2019[[#This Row],[Max Votes Share other than BJP]]</f>
        <v>-0.32144321723000008</v>
      </c>
      <c r="R309">
        <v>877872</v>
      </c>
      <c r="S309">
        <v>1957931</v>
      </c>
      <c r="T309" s="10">
        <v>0.44836717943999999</v>
      </c>
      <c r="U309" s="1" t="s">
        <v>68</v>
      </c>
    </row>
    <row r="310" spans="1:21" x14ac:dyDescent="0.35">
      <c r="A310" s="1" t="s">
        <v>18</v>
      </c>
      <c r="B310" s="1" t="s">
        <v>19</v>
      </c>
      <c r="C310" s="1" t="s">
        <v>580</v>
      </c>
      <c r="D310" s="1" t="s">
        <v>592</v>
      </c>
      <c r="E310" s="1" t="s">
        <v>21</v>
      </c>
      <c r="F310" s="1" t="s">
        <v>160</v>
      </c>
      <c r="G310" s="1" t="s">
        <v>112</v>
      </c>
      <c r="H310" s="1" t="s">
        <v>53</v>
      </c>
      <c r="I310" s="1" t="s">
        <v>63</v>
      </c>
      <c r="J310">
        <v>329</v>
      </c>
      <c r="K310" s="9">
        <v>3.7476989811999998E-4</v>
      </c>
      <c r="L310" s="9">
        <v>0.58946065030000006</v>
      </c>
      <c r="M310">
        <v>517471</v>
      </c>
      <c r="N310">
        <v>235285</v>
      </c>
      <c r="O310" s="9">
        <v>0.26801743306999998</v>
      </c>
      <c r="P310" s="11">
        <f>Telengana_Reaults_2019[[#This Row],[BJP Votes]]-Telengana_Reaults_2019[[#This Row],[Max Votes Other than BJP]]</f>
        <v>-282186</v>
      </c>
      <c r="Q310" s="9">
        <f>Telengana_Reaults_2019[[#This Row],[BJP Vote Share]]-Telengana_Reaults_2019[[#This Row],[Max Votes Share other than BJP]]</f>
        <v>-0.32144321723000008</v>
      </c>
      <c r="R310">
        <v>877872</v>
      </c>
      <c r="S310">
        <v>1957931</v>
      </c>
      <c r="T310" s="10">
        <v>0.44836717943999999</v>
      </c>
      <c r="U310" s="1" t="s">
        <v>68</v>
      </c>
    </row>
    <row r="311" spans="1:21" x14ac:dyDescent="0.35">
      <c r="A311" s="1" t="s">
        <v>18</v>
      </c>
      <c r="B311" s="1" t="s">
        <v>19</v>
      </c>
      <c r="C311" s="1" t="s">
        <v>580</v>
      </c>
      <c r="D311" s="1" t="s">
        <v>593</v>
      </c>
      <c r="E311" s="1" t="s">
        <v>21</v>
      </c>
      <c r="F311" s="1" t="s">
        <v>80</v>
      </c>
      <c r="G311" s="1" t="s">
        <v>112</v>
      </c>
      <c r="H311" s="1" t="s">
        <v>53</v>
      </c>
      <c r="I311" s="1" t="s">
        <v>54</v>
      </c>
      <c r="J311">
        <v>494</v>
      </c>
      <c r="K311" s="9">
        <v>5.6272440629000003E-4</v>
      </c>
      <c r="L311" s="9">
        <v>0.58946065030000006</v>
      </c>
      <c r="M311">
        <v>517471</v>
      </c>
      <c r="N311">
        <v>235285</v>
      </c>
      <c r="O311" s="9">
        <v>0.26801743306999998</v>
      </c>
      <c r="P311" s="11">
        <f>Telengana_Reaults_2019[[#This Row],[BJP Votes]]-Telengana_Reaults_2019[[#This Row],[Max Votes Other than BJP]]</f>
        <v>-282186</v>
      </c>
      <c r="Q311" s="9">
        <f>Telengana_Reaults_2019[[#This Row],[BJP Vote Share]]-Telengana_Reaults_2019[[#This Row],[Max Votes Share other than BJP]]</f>
        <v>-0.32144321723000008</v>
      </c>
      <c r="R311">
        <v>877872</v>
      </c>
      <c r="S311">
        <v>1957931</v>
      </c>
      <c r="T311" s="10">
        <v>0.44836717943999999</v>
      </c>
      <c r="U311" s="1" t="s">
        <v>68</v>
      </c>
    </row>
    <row r="312" spans="1:21" x14ac:dyDescent="0.35">
      <c r="A312" s="1" t="s">
        <v>18</v>
      </c>
      <c r="B312" s="1" t="s">
        <v>19</v>
      </c>
      <c r="C312" s="1" t="s">
        <v>580</v>
      </c>
      <c r="D312" s="1" t="s">
        <v>594</v>
      </c>
      <c r="E312" s="1" t="s">
        <v>21</v>
      </c>
      <c r="F312" s="1" t="s">
        <v>120</v>
      </c>
      <c r="G312" s="1" t="s">
        <v>112</v>
      </c>
      <c r="H312" s="1" t="s">
        <v>53</v>
      </c>
      <c r="I312" s="1" t="s">
        <v>232</v>
      </c>
      <c r="J312">
        <v>420</v>
      </c>
      <c r="K312" s="9">
        <v>4.7842965717E-4</v>
      </c>
      <c r="L312" s="9">
        <v>0.58946065030000006</v>
      </c>
      <c r="M312">
        <v>517471</v>
      </c>
      <c r="N312">
        <v>235285</v>
      </c>
      <c r="O312" s="9">
        <v>0.26801743306999998</v>
      </c>
      <c r="P312" s="11">
        <f>Telengana_Reaults_2019[[#This Row],[BJP Votes]]-Telengana_Reaults_2019[[#This Row],[Max Votes Other than BJP]]</f>
        <v>-282186</v>
      </c>
      <c r="Q312" s="9">
        <f>Telengana_Reaults_2019[[#This Row],[BJP Vote Share]]-Telengana_Reaults_2019[[#This Row],[Max Votes Share other than BJP]]</f>
        <v>-0.32144321723000008</v>
      </c>
      <c r="R312">
        <v>877872</v>
      </c>
      <c r="S312">
        <v>1957931</v>
      </c>
      <c r="T312" s="10">
        <v>0.44836717943999999</v>
      </c>
      <c r="U312" s="1" t="s">
        <v>68</v>
      </c>
    </row>
    <row r="313" spans="1:21" x14ac:dyDescent="0.35">
      <c r="A313" s="1" t="s">
        <v>18</v>
      </c>
      <c r="B313" s="1" t="s">
        <v>19</v>
      </c>
      <c r="C313" s="1" t="s">
        <v>580</v>
      </c>
      <c r="D313" s="1" t="s">
        <v>595</v>
      </c>
      <c r="E313" s="1" t="s">
        <v>21</v>
      </c>
      <c r="F313" s="1" t="s">
        <v>155</v>
      </c>
      <c r="G313" s="1" t="s">
        <v>112</v>
      </c>
      <c r="H313" s="1" t="s">
        <v>53</v>
      </c>
      <c r="I313" s="1" t="s">
        <v>291</v>
      </c>
      <c r="J313">
        <v>553</v>
      </c>
      <c r="K313" s="9">
        <v>6.2993238193999996E-4</v>
      </c>
      <c r="L313" s="9">
        <v>0.58946065030000006</v>
      </c>
      <c r="M313">
        <v>517471</v>
      </c>
      <c r="N313">
        <v>235285</v>
      </c>
      <c r="O313" s="9">
        <v>0.26801743306999998</v>
      </c>
      <c r="P313" s="11">
        <f>Telengana_Reaults_2019[[#This Row],[BJP Votes]]-Telengana_Reaults_2019[[#This Row],[Max Votes Other than BJP]]</f>
        <v>-282186</v>
      </c>
      <c r="Q313" s="9">
        <f>Telengana_Reaults_2019[[#This Row],[BJP Vote Share]]-Telengana_Reaults_2019[[#This Row],[Max Votes Share other than BJP]]</f>
        <v>-0.32144321723000008</v>
      </c>
      <c r="R313">
        <v>877872</v>
      </c>
      <c r="S313">
        <v>1957931</v>
      </c>
      <c r="T313" s="10">
        <v>0.44836717943999999</v>
      </c>
      <c r="U313" s="1" t="s">
        <v>68</v>
      </c>
    </row>
    <row r="314" spans="1:21" x14ac:dyDescent="0.35">
      <c r="A314" s="1" t="s">
        <v>18</v>
      </c>
      <c r="B314" s="1" t="s">
        <v>19</v>
      </c>
      <c r="C314" s="1" t="s">
        <v>580</v>
      </c>
      <c r="D314" s="1" t="s">
        <v>596</v>
      </c>
      <c r="E314" s="1" t="s">
        <v>21</v>
      </c>
      <c r="F314" s="1" t="s">
        <v>80</v>
      </c>
      <c r="G314" s="1" t="s">
        <v>112</v>
      </c>
      <c r="H314" s="1" t="s">
        <v>53</v>
      </c>
      <c r="I314" s="1" t="s">
        <v>136</v>
      </c>
      <c r="J314">
        <v>1715</v>
      </c>
      <c r="K314" s="9">
        <v>1.9535877667999999E-3</v>
      </c>
      <c r="L314" s="9">
        <v>0.58946065030000006</v>
      </c>
      <c r="M314">
        <v>517471</v>
      </c>
      <c r="N314">
        <v>235285</v>
      </c>
      <c r="O314" s="9">
        <v>0.26801743306999998</v>
      </c>
      <c r="P314" s="11">
        <f>Telengana_Reaults_2019[[#This Row],[BJP Votes]]-Telengana_Reaults_2019[[#This Row],[Max Votes Other than BJP]]</f>
        <v>-282186</v>
      </c>
      <c r="Q314" s="9">
        <f>Telengana_Reaults_2019[[#This Row],[BJP Vote Share]]-Telengana_Reaults_2019[[#This Row],[Max Votes Share other than BJP]]</f>
        <v>-0.32144321723000008</v>
      </c>
      <c r="R314">
        <v>877872</v>
      </c>
      <c r="S314">
        <v>1957931</v>
      </c>
      <c r="T314" s="10">
        <v>0.44836717943999999</v>
      </c>
      <c r="U314" s="1" t="s">
        <v>68</v>
      </c>
    </row>
    <row r="315" spans="1:21" x14ac:dyDescent="0.35">
      <c r="A315" s="1" t="s">
        <v>18</v>
      </c>
      <c r="B315" s="1" t="s">
        <v>19</v>
      </c>
      <c r="C315" s="1" t="s">
        <v>580</v>
      </c>
      <c r="D315" s="1" t="s">
        <v>64</v>
      </c>
      <c r="E315" s="1" t="s">
        <v>64</v>
      </c>
      <c r="F315" s="1" t="s">
        <v>64</v>
      </c>
      <c r="G315" s="1" t="s">
        <v>64</v>
      </c>
      <c r="H315" s="1" t="s">
        <v>64</v>
      </c>
      <c r="I315" s="1" t="s">
        <v>64</v>
      </c>
      <c r="J315">
        <v>5653</v>
      </c>
      <c r="K315" s="9">
        <v>6.4394353618999998E-3</v>
      </c>
      <c r="L315" s="9">
        <v>0.58946065030000006</v>
      </c>
      <c r="M315">
        <v>517471</v>
      </c>
      <c r="N315">
        <v>235285</v>
      </c>
      <c r="O315" s="9">
        <v>0.26801743306999998</v>
      </c>
      <c r="P315" s="11">
        <f>Telengana_Reaults_2019[[#This Row],[BJP Votes]]-Telengana_Reaults_2019[[#This Row],[Max Votes Other than BJP]]</f>
        <v>-282186</v>
      </c>
      <c r="Q315" s="9">
        <f>Telengana_Reaults_2019[[#This Row],[BJP Vote Share]]-Telengana_Reaults_2019[[#This Row],[Max Votes Share other than BJP]]</f>
        <v>-0.32144321723000008</v>
      </c>
      <c r="R315">
        <v>877872</v>
      </c>
      <c r="S315">
        <v>1957931</v>
      </c>
      <c r="T315" s="10">
        <v>0.44836717943999999</v>
      </c>
      <c r="U315" s="1" t="s">
        <v>68</v>
      </c>
    </row>
    <row r="316" spans="1:21" x14ac:dyDescent="0.35">
      <c r="A316" s="1" t="s">
        <v>18</v>
      </c>
      <c r="B316" s="1" t="s">
        <v>19</v>
      </c>
      <c r="C316" s="1" t="s">
        <v>1126</v>
      </c>
      <c r="D316" s="1" t="s">
        <v>597</v>
      </c>
      <c r="E316" s="1" t="s">
        <v>21</v>
      </c>
      <c r="F316" s="1" t="s">
        <v>115</v>
      </c>
      <c r="G316" s="1" t="s">
        <v>112</v>
      </c>
      <c r="H316" s="1" t="s">
        <v>29</v>
      </c>
      <c r="I316" s="1" t="s">
        <v>30</v>
      </c>
      <c r="J316">
        <v>513831</v>
      </c>
      <c r="K316" s="9">
        <v>0.39519564004000002</v>
      </c>
      <c r="L316" s="9">
        <v>0.40620707370999998</v>
      </c>
      <c r="M316">
        <v>528148</v>
      </c>
      <c r="N316">
        <v>201960</v>
      </c>
      <c r="O316" s="9">
        <v>0.15533066604000001</v>
      </c>
      <c r="P316" s="11">
        <f>Telengana_Reaults_2019[[#This Row],[BJP Votes]]-Telengana_Reaults_2019[[#This Row],[Max Votes Other than BJP]]</f>
        <v>-326188</v>
      </c>
      <c r="Q316" s="9">
        <f>Telengana_Reaults_2019[[#This Row],[BJP Vote Share]]-Telengana_Reaults_2019[[#This Row],[Max Votes Share other than BJP]]</f>
        <v>-0.25087640766999997</v>
      </c>
      <c r="R316">
        <v>1300194</v>
      </c>
      <c r="S316">
        <v>2443112</v>
      </c>
      <c r="T316" s="10">
        <v>0.53218763609999997</v>
      </c>
      <c r="U316" s="1" t="s">
        <v>68</v>
      </c>
    </row>
    <row r="317" spans="1:21" x14ac:dyDescent="0.35">
      <c r="A317" s="1" t="s">
        <v>18</v>
      </c>
      <c r="B317" s="1" t="s">
        <v>19</v>
      </c>
      <c r="C317" s="1" t="s">
        <v>1126</v>
      </c>
      <c r="D317" s="1" t="s">
        <v>598</v>
      </c>
      <c r="E317" s="1" t="s">
        <v>21</v>
      </c>
      <c r="F317" s="1" t="s">
        <v>22</v>
      </c>
      <c r="G317" s="1" t="s">
        <v>112</v>
      </c>
      <c r="H317" s="1" t="s">
        <v>24</v>
      </c>
      <c r="I317" s="1" t="s">
        <v>25</v>
      </c>
      <c r="J317">
        <v>528148</v>
      </c>
      <c r="K317" s="9">
        <v>0.40620707370999998</v>
      </c>
      <c r="L317" s="9">
        <v>0.40620707370999998</v>
      </c>
      <c r="M317">
        <v>528148</v>
      </c>
      <c r="N317">
        <v>201960</v>
      </c>
      <c r="O317" s="9">
        <v>0.15533066604000001</v>
      </c>
      <c r="P317" s="11">
        <f>Telengana_Reaults_2019[[#This Row],[BJP Votes]]-Telengana_Reaults_2019[[#This Row],[Max Votes Other than BJP]]</f>
        <v>-326188</v>
      </c>
      <c r="Q317" s="9">
        <f>Telengana_Reaults_2019[[#This Row],[BJP Vote Share]]-Telengana_Reaults_2019[[#This Row],[Max Votes Share other than BJP]]</f>
        <v>-0.25087640766999997</v>
      </c>
      <c r="R317">
        <v>1300194</v>
      </c>
      <c r="S317">
        <v>2443112</v>
      </c>
      <c r="T317" s="10">
        <v>0.53218763609999997</v>
      </c>
      <c r="U317" s="1" t="s">
        <v>68</v>
      </c>
    </row>
    <row r="318" spans="1:21" x14ac:dyDescent="0.35">
      <c r="A318" s="1" t="s">
        <v>18</v>
      </c>
      <c r="B318" s="1" t="s">
        <v>19</v>
      </c>
      <c r="C318" s="1" t="s">
        <v>1126</v>
      </c>
      <c r="D318" s="1" t="s">
        <v>599</v>
      </c>
      <c r="E318" s="1" t="s">
        <v>21</v>
      </c>
      <c r="F318" s="1" t="s">
        <v>379</v>
      </c>
      <c r="G318" s="1" t="s">
        <v>112</v>
      </c>
      <c r="H318" s="1" t="s">
        <v>32</v>
      </c>
      <c r="I318" s="1" t="s">
        <v>33</v>
      </c>
      <c r="J318">
        <v>201960</v>
      </c>
      <c r="K318" s="9">
        <v>0.15533066604000001</v>
      </c>
      <c r="L318" s="9">
        <v>0.40620707370999998</v>
      </c>
      <c r="M318">
        <v>528148</v>
      </c>
      <c r="N318">
        <v>201960</v>
      </c>
      <c r="O318" s="9">
        <v>0.15533066604000001</v>
      </c>
      <c r="P318" s="11">
        <f>Telengana_Reaults_2019[[#This Row],[BJP Votes]]-Telengana_Reaults_2019[[#This Row],[Max Votes Other than BJP]]</f>
        <v>-326188</v>
      </c>
      <c r="Q318" s="9">
        <f>Telengana_Reaults_2019[[#This Row],[BJP Vote Share]]-Telengana_Reaults_2019[[#This Row],[Max Votes Share other than BJP]]</f>
        <v>-0.25087640766999997</v>
      </c>
      <c r="R318">
        <v>1300194</v>
      </c>
      <c r="S318">
        <v>2443112</v>
      </c>
      <c r="T318" s="10">
        <v>0.53218763609999997</v>
      </c>
      <c r="U318" s="1" t="s">
        <v>68</v>
      </c>
    </row>
    <row r="319" spans="1:21" x14ac:dyDescent="0.35">
      <c r="A319" s="1" t="s">
        <v>18</v>
      </c>
      <c r="B319" s="1" t="s">
        <v>19</v>
      </c>
      <c r="C319" s="1" t="s">
        <v>1126</v>
      </c>
      <c r="D319" s="1" t="s">
        <v>600</v>
      </c>
      <c r="E319" s="1" t="s">
        <v>21</v>
      </c>
      <c r="F319" s="1" t="s">
        <v>75</v>
      </c>
      <c r="G319" s="1" t="s">
        <v>67</v>
      </c>
      <c r="H319" s="1" t="s">
        <v>72</v>
      </c>
      <c r="I319" s="1" t="s">
        <v>73</v>
      </c>
      <c r="J319">
        <v>4860</v>
      </c>
      <c r="K319" s="9">
        <v>3.7379037282000002E-3</v>
      </c>
      <c r="L319" s="9">
        <v>0.40620707370999998</v>
      </c>
      <c r="M319">
        <v>528148</v>
      </c>
      <c r="N319">
        <v>201960</v>
      </c>
      <c r="O319" s="9">
        <v>0.15533066604000001</v>
      </c>
      <c r="P319" s="11">
        <f>Telengana_Reaults_2019[[#This Row],[BJP Votes]]-Telengana_Reaults_2019[[#This Row],[Max Votes Other than BJP]]</f>
        <v>-326188</v>
      </c>
      <c r="Q319" s="9">
        <f>Telengana_Reaults_2019[[#This Row],[BJP Vote Share]]-Telengana_Reaults_2019[[#This Row],[Max Votes Share other than BJP]]</f>
        <v>-0.25087640766999997</v>
      </c>
      <c r="R319">
        <v>1300194</v>
      </c>
      <c r="S319">
        <v>2443112</v>
      </c>
      <c r="T319" s="10">
        <v>0.53218763609999997</v>
      </c>
      <c r="U319" s="1" t="s">
        <v>68</v>
      </c>
    </row>
    <row r="320" spans="1:21" x14ac:dyDescent="0.35">
      <c r="A320" s="1" t="s">
        <v>18</v>
      </c>
      <c r="B320" s="1" t="s">
        <v>19</v>
      </c>
      <c r="C320" s="1" t="s">
        <v>1126</v>
      </c>
      <c r="D320" s="1" t="s">
        <v>601</v>
      </c>
      <c r="E320" s="1" t="s">
        <v>21</v>
      </c>
      <c r="F320" s="1" t="s">
        <v>165</v>
      </c>
      <c r="G320" s="1" t="s">
        <v>112</v>
      </c>
      <c r="H320" s="1" t="s">
        <v>77</v>
      </c>
      <c r="I320" s="1" t="s">
        <v>78</v>
      </c>
      <c r="J320">
        <v>859</v>
      </c>
      <c r="K320" s="9">
        <v>6.6067063838000004E-4</v>
      </c>
      <c r="L320" s="9">
        <v>0.40620707370999998</v>
      </c>
      <c r="M320">
        <v>528148</v>
      </c>
      <c r="N320">
        <v>201960</v>
      </c>
      <c r="O320" s="9">
        <v>0.15533066604000001</v>
      </c>
      <c r="P320" s="11">
        <f>Telengana_Reaults_2019[[#This Row],[BJP Votes]]-Telengana_Reaults_2019[[#This Row],[Max Votes Other than BJP]]</f>
        <v>-326188</v>
      </c>
      <c r="Q320" s="9">
        <f>Telengana_Reaults_2019[[#This Row],[BJP Vote Share]]-Telengana_Reaults_2019[[#This Row],[Max Votes Share other than BJP]]</f>
        <v>-0.25087640766999997</v>
      </c>
      <c r="R320">
        <v>1300194</v>
      </c>
      <c r="S320">
        <v>2443112</v>
      </c>
      <c r="T320" s="10">
        <v>0.53218763609999997</v>
      </c>
      <c r="U320" s="1" t="s">
        <v>68</v>
      </c>
    </row>
    <row r="321" spans="1:21" x14ac:dyDescent="0.35">
      <c r="A321" s="1" t="s">
        <v>18</v>
      </c>
      <c r="B321" s="1" t="s">
        <v>19</v>
      </c>
      <c r="C321" s="1" t="s">
        <v>1126</v>
      </c>
      <c r="D321" s="1" t="s">
        <v>602</v>
      </c>
      <c r="E321" s="1" t="s">
        <v>21</v>
      </c>
      <c r="F321" s="1" t="s">
        <v>75</v>
      </c>
      <c r="G321" s="1" t="s">
        <v>23</v>
      </c>
      <c r="H321" s="1" t="s">
        <v>150</v>
      </c>
      <c r="I321" s="1" t="s">
        <v>151</v>
      </c>
      <c r="J321">
        <v>767</v>
      </c>
      <c r="K321" s="9">
        <v>5.8991196698000002E-4</v>
      </c>
      <c r="L321" s="9">
        <v>0.40620707370999998</v>
      </c>
      <c r="M321">
        <v>528148</v>
      </c>
      <c r="N321">
        <v>201960</v>
      </c>
      <c r="O321" s="9">
        <v>0.15533066604000001</v>
      </c>
      <c r="P321" s="11">
        <f>Telengana_Reaults_2019[[#This Row],[BJP Votes]]-Telengana_Reaults_2019[[#This Row],[Max Votes Other than BJP]]</f>
        <v>-326188</v>
      </c>
      <c r="Q321" s="9">
        <f>Telengana_Reaults_2019[[#This Row],[BJP Vote Share]]-Telengana_Reaults_2019[[#This Row],[Max Votes Share other than BJP]]</f>
        <v>-0.25087640766999997</v>
      </c>
      <c r="R321">
        <v>1300194</v>
      </c>
      <c r="S321">
        <v>2443112</v>
      </c>
      <c r="T321" s="10">
        <v>0.53218763609999997</v>
      </c>
      <c r="U321" s="1" t="s">
        <v>68</v>
      </c>
    </row>
    <row r="322" spans="1:21" x14ac:dyDescent="0.35">
      <c r="A322" s="1" t="s">
        <v>18</v>
      </c>
      <c r="B322" s="1" t="s">
        <v>19</v>
      </c>
      <c r="C322" s="1" t="s">
        <v>1126</v>
      </c>
      <c r="D322" s="1" t="s">
        <v>603</v>
      </c>
      <c r="E322" s="1" t="s">
        <v>21</v>
      </c>
      <c r="F322" s="1" t="s">
        <v>117</v>
      </c>
      <c r="G322" s="1" t="s">
        <v>112</v>
      </c>
      <c r="H322" s="1" t="s">
        <v>512</v>
      </c>
      <c r="I322" s="1" t="s">
        <v>291</v>
      </c>
      <c r="J322">
        <v>607</v>
      </c>
      <c r="K322" s="9">
        <v>4.6685340803000002E-4</v>
      </c>
      <c r="L322" s="9">
        <v>0.40620707370999998</v>
      </c>
      <c r="M322">
        <v>528148</v>
      </c>
      <c r="N322">
        <v>201960</v>
      </c>
      <c r="O322" s="9">
        <v>0.15533066604000001</v>
      </c>
      <c r="P322" s="11">
        <f>Telengana_Reaults_2019[[#This Row],[BJP Votes]]-Telengana_Reaults_2019[[#This Row],[Max Votes Other than BJP]]</f>
        <v>-326188</v>
      </c>
      <c r="Q322" s="9">
        <f>Telengana_Reaults_2019[[#This Row],[BJP Vote Share]]-Telengana_Reaults_2019[[#This Row],[Max Votes Share other than BJP]]</f>
        <v>-0.25087640766999997</v>
      </c>
      <c r="R322">
        <v>1300194</v>
      </c>
      <c r="S322">
        <v>2443112</v>
      </c>
      <c r="T322" s="10">
        <v>0.53218763609999997</v>
      </c>
      <c r="U322" s="1" t="s">
        <v>68</v>
      </c>
    </row>
    <row r="323" spans="1:21" x14ac:dyDescent="0.35">
      <c r="A323" s="1" t="s">
        <v>18</v>
      </c>
      <c r="B323" s="1" t="s">
        <v>19</v>
      </c>
      <c r="C323" s="1" t="s">
        <v>1126</v>
      </c>
      <c r="D323" s="1" t="s">
        <v>604</v>
      </c>
      <c r="E323" s="1" t="s">
        <v>21</v>
      </c>
      <c r="F323" s="1" t="s">
        <v>155</v>
      </c>
      <c r="G323" s="1" t="s">
        <v>67</v>
      </c>
      <c r="H323" s="1" t="s">
        <v>560</v>
      </c>
      <c r="I323" s="1" t="s">
        <v>242</v>
      </c>
      <c r="J323">
        <v>1103</v>
      </c>
      <c r="K323" s="9">
        <v>8.4833494079000001E-4</v>
      </c>
      <c r="L323" s="9">
        <v>0.40620707370999998</v>
      </c>
      <c r="M323">
        <v>528148</v>
      </c>
      <c r="N323">
        <v>201960</v>
      </c>
      <c r="O323" s="9">
        <v>0.15533066604000001</v>
      </c>
      <c r="P323" s="11">
        <f>Telengana_Reaults_2019[[#This Row],[BJP Votes]]-Telengana_Reaults_2019[[#This Row],[Max Votes Other than BJP]]</f>
        <v>-326188</v>
      </c>
      <c r="Q323" s="9">
        <f>Telengana_Reaults_2019[[#This Row],[BJP Vote Share]]-Telengana_Reaults_2019[[#This Row],[Max Votes Share other than BJP]]</f>
        <v>-0.25087640766999997</v>
      </c>
      <c r="R323">
        <v>1300194</v>
      </c>
      <c r="S323">
        <v>2443112</v>
      </c>
      <c r="T323" s="10">
        <v>0.53218763609999997</v>
      </c>
      <c r="U323" s="1" t="s">
        <v>68</v>
      </c>
    </row>
    <row r="324" spans="1:21" x14ac:dyDescent="0.35">
      <c r="A324" s="1" t="s">
        <v>18</v>
      </c>
      <c r="B324" s="1" t="s">
        <v>19</v>
      </c>
      <c r="C324" s="1" t="s">
        <v>1126</v>
      </c>
      <c r="D324" s="1" t="s">
        <v>605</v>
      </c>
      <c r="E324" s="1" t="s">
        <v>21</v>
      </c>
      <c r="F324" s="1" t="s">
        <v>59</v>
      </c>
      <c r="G324" s="1" t="s">
        <v>67</v>
      </c>
      <c r="H324" s="1" t="s">
        <v>606</v>
      </c>
      <c r="I324" s="1" t="s">
        <v>57</v>
      </c>
      <c r="J324">
        <v>1223</v>
      </c>
      <c r="K324" s="9">
        <v>9.4062886000000003E-4</v>
      </c>
      <c r="L324" s="9">
        <v>0.40620707370999998</v>
      </c>
      <c r="M324">
        <v>528148</v>
      </c>
      <c r="N324">
        <v>201960</v>
      </c>
      <c r="O324" s="9">
        <v>0.15533066604000001</v>
      </c>
      <c r="P324" s="11">
        <f>Telengana_Reaults_2019[[#This Row],[BJP Votes]]-Telengana_Reaults_2019[[#This Row],[Max Votes Other than BJP]]</f>
        <v>-326188</v>
      </c>
      <c r="Q324" s="9">
        <f>Telengana_Reaults_2019[[#This Row],[BJP Vote Share]]-Telengana_Reaults_2019[[#This Row],[Max Votes Share other than BJP]]</f>
        <v>-0.25087640766999997</v>
      </c>
      <c r="R324">
        <v>1300194</v>
      </c>
      <c r="S324">
        <v>2443112</v>
      </c>
      <c r="T324" s="10">
        <v>0.53218763609999997</v>
      </c>
      <c r="U324" s="1" t="s">
        <v>68</v>
      </c>
    </row>
    <row r="325" spans="1:21" x14ac:dyDescent="0.35">
      <c r="A325" s="1" t="s">
        <v>18</v>
      </c>
      <c r="B325" s="1" t="s">
        <v>19</v>
      </c>
      <c r="C325" s="1" t="s">
        <v>1126</v>
      </c>
      <c r="D325" s="1" t="s">
        <v>607</v>
      </c>
      <c r="E325" s="1" t="s">
        <v>21</v>
      </c>
      <c r="F325" s="1" t="s">
        <v>44</v>
      </c>
      <c r="G325" s="1" t="s">
        <v>67</v>
      </c>
      <c r="H325" s="1" t="s">
        <v>84</v>
      </c>
      <c r="I325" s="1" t="s">
        <v>85</v>
      </c>
      <c r="J325">
        <v>1114</v>
      </c>
      <c r="K325" s="9">
        <v>8.5679521671000003E-4</v>
      </c>
      <c r="L325" s="9">
        <v>0.40620707370999998</v>
      </c>
      <c r="M325">
        <v>528148</v>
      </c>
      <c r="N325">
        <v>201960</v>
      </c>
      <c r="O325" s="9">
        <v>0.15533066604000001</v>
      </c>
      <c r="P325" s="11">
        <f>Telengana_Reaults_2019[[#This Row],[BJP Votes]]-Telengana_Reaults_2019[[#This Row],[Max Votes Other than BJP]]</f>
        <v>-326188</v>
      </c>
      <c r="Q325" s="9">
        <f>Telengana_Reaults_2019[[#This Row],[BJP Vote Share]]-Telengana_Reaults_2019[[#This Row],[Max Votes Share other than BJP]]</f>
        <v>-0.25087640766999997</v>
      </c>
      <c r="R325">
        <v>1300194</v>
      </c>
      <c r="S325">
        <v>2443112</v>
      </c>
      <c r="T325" s="10">
        <v>0.53218763609999997</v>
      </c>
      <c r="U325" s="1" t="s">
        <v>68</v>
      </c>
    </row>
    <row r="326" spans="1:21" x14ac:dyDescent="0.35">
      <c r="A326" s="1" t="s">
        <v>18</v>
      </c>
      <c r="B326" s="1" t="s">
        <v>19</v>
      </c>
      <c r="C326" s="1" t="s">
        <v>1126</v>
      </c>
      <c r="D326" s="1" t="s">
        <v>608</v>
      </c>
      <c r="E326" s="1" t="s">
        <v>21</v>
      </c>
      <c r="F326" s="1" t="s">
        <v>59</v>
      </c>
      <c r="G326" s="1" t="s">
        <v>67</v>
      </c>
      <c r="H326" s="1" t="s">
        <v>609</v>
      </c>
      <c r="I326" s="1" t="s">
        <v>102</v>
      </c>
      <c r="J326">
        <v>4179</v>
      </c>
      <c r="K326" s="9">
        <v>3.2141357367E-3</v>
      </c>
      <c r="L326" s="9">
        <v>0.40620707370999998</v>
      </c>
      <c r="M326">
        <v>528148</v>
      </c>
      <c r="N326">
        <v>201960</v>
      </c>
      <c r="O326" s="9">
        <v>0.15533066604000001</v>
      </c>
      <c r="P326" s="11">
        <f>Telengana_Reaults_2019[[#This Row],[BJP Votes]]-Telengana_Reaults_2019[[#This Row],[Max Votes Other than BJP]]</f>
        <v>-326188</v>
      </c>
      <c r="Q326" s="9">
        <f>Telengana_Reaults_2019[[#This Row],[BJP Vote Share]]-Telengana_Reaults_2019[[#This Row],[Max Votes Share other than BJP]]</f>
        <v>-0.25087640766999997</v>
      </c>
      <c r="R326">
        <v>1300194</v>
      </c>
      <c r="S326">
        <v>2443112</v>
      </c>
      <c r="T326" s="10">
        <v>0.53218763609999997</v>
      </c>
      <c r="U326" s="1" t="s">
        <v>68</v>
      </c>
    </row>
    <row r="327" spans="1:21" x14ac:dyDescent="0.35">
      <c r="A327" s="1" t="s">
        <v>18</v>
      </c>
      <c r="B327" s="1" t="s">
        <v>19</v>
      </c>
      <c r="C327" s="1" t="s">
        <v>1126</v>
      </c>
      <c r="D327" s="1" t="s">
        <v>610</v>
      </c>
      <c r="E327" s="1" t="s">
        <v>35</v>
      </c>
      <c r="F327" s="1" t="s">
        <v>80</v>
      </c>
      <c r="G327" s="1" t="s">
        <v>112</v>
      </c>
      <c r="H327" s="1" t="s">
        <v>611</v>
      </c>
      <c r="I327" s="1" t="s">
        <v>284</v>
      </c>
      <c r="J327">
        <v>2155</v>
      </c>
      <c r="K327" s="9">
        <v>1.6574449659000001E-3</v>
      </c>
      <c r="L327" s="9">
        <v>0.40620707370999998</v>
      </c>
      <c r="M327">
        <v>528148</v>
      </c>
      <c r="N327">
        <v>201960</v>
      </c>
      <c r="O327" s="9">
        <v>0.15533066604000001</v>
      </c>
      <c r="P327" s="11">
        <f>Telengana_Reaults_2019[[#This Row],[BJP Votes]]-Telengana_Reaults_2019[[#This Row],[Max Votes Other than BJP]]</f>
        <v>-326188</v>
      </c>
      <c r="Q327" s="9">
        <f>Telengana_Reaults_2019[[#This Row],[BJP Vote Share]]-Telengana_Reaults_2019[[#This Row],[Max Votes Share other than BJP]]</f>
        <v>-0.25087640766999997</v>
      </c>
      <c r="R327">
        <v>1300194</v>
      </c>
      <c r="S327">
        <v>2443112</v>
      </c>
      <c r="T327" s="10">
        <v>0.53218763609999997</v>
      </c>
      <c r="U327" s="1" t="s">
        <v>68</v>
      </c>
    </row>
    <row r="328" spans="1:21" x14ac:dyDescent="0.35">
      <c r="A328" s="1" t="s">
        <v>18</v>
      </c>
      <c r="B328" s="1" t="s">
        <v>19</v>
      </c>
      <c r="C328" s="1" t="s">
        <v>1126</v>
      </c>
      <c r="D328" s="1" t="s">
        <v>612</v>
      </c>
      <c r="E328" s="1" t="s">
        <v>21</v>
      </c>
      <c r="F328" s="1" t="s">
        <v>71</v>
      </c>
      <c r="G328" s="1" t="s">
        <v>112</v>
      </c>
      <c r="H328" s="1" t="s">
        <v>613</v>
      </c>
      <c r="I328" s="1" t="s">
        <v>614</v>
      </c>
      <c r="J328">
        <v>1458</v>
      </c>
      <c r="K328" s="9">
        <v>1.1213711185000001E-3</v>
      </c>
      <c r="L328" s="9">
        <v>0.40620707370999998</v>
      </c>
      <c r="M328">
        <v>528148</v>
      </c>
      <c r="N328">
        <v>201960</v>
      </c>
      <c r="O328" s="9">
        <v>0.15533066604000001</v>
      </c>
      <c r="P328" s="11">
        <f>Telengana_Reaults_2019[[#This Row],[BJP Votes]]-Telengana_Reaults_2019[[#This Row],[Max Votes Other than BJP]]</f>
        <v>-326188</v>
      </c>
      <c r="Q328" s="9">
        <f>Telengana_Reaults_2019[[#This Row],[BJP Vote Share]]-Telengana_Reaults_2019[[#This Row],[Max Votes Share other than BJP]]</f>
        <v>-0.25087640766999997</v>
      </c>
      <c r="R328">
        <v>1300194</v>
      </c>
      <c r="S328">
        <v>2443112</v>
      </c>
      <c r="T328" s="10">
        <v>0.53218763609999997</v>
      </c>
      <c r="U328" s="1" t="s">
        <v>68</v>
      </c>
    </row>
    <row r="329" spans="1:21" x14ac:dyDescent="0.35">
      <c r="A329" s="1" t="s">
        <v>18</v>
      </c>
      <c r="B329" s="1" t="s">
        <v>19</v>
      </c>
      <c r="C329" s="1" t="s">
        <v>1126</v>
      </c>
      <c r="D329" s="1" t="s">
        <v>615</v>
      </c>
      <c r="E329" s="1" t="s">
        <v>21</v>
      </c>
      <c r="F329" s="1" t="s">
        <v>117</v>
      </c>
      <c r="G329" s="1" t="s">
        <v>112</v>
      </c>
      <c r="H329" s="1" t="s">
        <v>536</v>
      </c>
      <c r="I329" s="1" t="s">
        <v>483</v>
      </c>
      <c r="J329">
        <v>1523</v>
      </c>
      <c r="K329" s="9">
        <v>1.1713636580000001E-3</v>
      </c>
      <c r="L329" s="9">
        <v>0.40620707370999998</v>
      </c>
      <c r="M329">
        <v>528148</v>
      </c>
      <c r="N329">
        <v>201960</v>
      </c>
      <c r="O329" s="9">
        <v>0.15533066604000001</v>
      </c>
      <c r="P329" s="11">
        <f>Telengana_Reaults_2019[[#This Row],[BJP Votes]]-Telengana_Reaults_2019[[#This Row],[Max Votes Other than BJP]]</f>
        <v>-326188</v>
      </c>
      <c r="Q329" s="9">
        <f>Telengana_Reaults_2019[[#This Row],[BJP Vote Share]]-Telengana_Reaults_2019[[#This Row],[Max Votes Share other than BJP]]</f>
        <v>-0.25087640766999997</v>
      </c>
      <c r="R329">
        <v>1300194</v>
      </c>
      <c r="S329">
        <v>2443112</v>
      </c>
      <c r="T329" s="10">
        <v>0.53218763609999997</v>
      </c>
      <c r="U329" s="1" t="s">
        <v>68</v>
      </c>
    </row>
    <row r="330" spans="1:21" x14ac:dyDescent="0.35">
      <c r="A330" s="1" t="s">
        <v>18</v>
      </c>
      <c r="B330" s="1" t="s">
        <v>19</v>
      </c>
      <c r="C330" s="1" t="s">
        <v>1126</v>
      </c>
      <c r="D330" s="1" t="s">
        <v>616</v>
      </c>
      <c r="E330" s="1" t="s">
        <v>21</v>
      </c>
      <c r="F330" s="1" t="s">
        <v>71</v>
      </c>
      <c r="G330" s="1" t="s">
        <v>23</v>
      </c>
      <c r="H330" s="1" t="s">
        <v>92</v>
      </c>
      <c r="I330" s="1" t="s">
        <v>93</v>
      </c>
      <c r="J330">
        <v>6226</v>
      </c>
      <c r="K330" s="9">
        <v>4.7885161752999998E-3</v>
      </c>
      <c r="L330" s="9">
        <v>0.40620707370999998</v>
      </c>
      <c r="M330">
        <v>528148</v>
      </c>
      <c r="N330">
        <v>201960</v>
      </c>
      <c r="O330" s="9">
        <v>0.15533066604000001</v>
      </c>
      <c r="P330" s="11">
        <f>Telengana_Reaults_2019[[#This Row],[BJP Votes]]-Telengana_Reaults_2019[[#This Row],[Max Votes Other than BJP]]</f>
        <v>-326188</v>
      </c>
      <c r="Q330" s="9">
        <f>Telengana_Reaults_2019[[#This Row],[BJP Vote Share]]-Telengana_Reaults_2019[[#This Row],[Max Votes Share other than BJP]]</f>
        <v>-0.25087640766999997</v>
      </c>
      <c r="R330">
        <v>1300194</v>
      </c>
      <c r="S330">
        <v>2443112</v>
      </c>
      <c r="T330" s="10">
        <v>0.53218763609999997</v>
      </c>
      <c r="U330" s="1" t="s">
        <v>68</v>
      </c>
    </row>
    <row r="331" spans="1:21" x14ac:dyDescent="0.35">
      <c r="A331" s="1" t="s">
        <v>18</v>
      </c>
      <c r="B331" s="1" t="s">
        <v>19</v>
      </c>
      <c r="C331" s="1" t="s">
        <v>1126</v>
      </c>
      <c r="D331" s="1" t="s">
        <v>617</v>
      </c>
      <c r="E331" s="1" t="s">
        <v>21</v>
      </c>
      <c r="F331" s="1" t="s">
        <v>618</v>
      </c>
      <c r="G331" s="1" t="s">
        <v>112</v>
      </c>
      <c r="H331" s="1" t="s">
        <v>53</v>
      </c>
      <c r="I331" s="1" t="s">
        <v>89</v>
      </c>
      <c r="J331">
        <v>4514</v>
      </c>
      <c r="K331" s="9">
        <v>3.4717895944999999E-3</v>
      </c>
      <c r="L331" s="9">
        <v>0.40620707370999998</v>
      </c>
      <c r="M331">
        <v>528148</v>
      </c>
      <c r="N331">
        <v>201960</v>
      </c>
      <c r="O331" s="9">
        <v>0.15533066604000001</v>
      </c>
      <c r="P331" s="11">
        <f>Telengana_Reaults_2019[[#This Row],[BJP Votes]]-Telengana_Reaults_2019[[#This Row],[Max Votes Other than BJP]]</f>
        <v>-326188</v>
      </c>
      <c r="Q331" s="9">
        <f>Telengana_Reaults_2019[[#This Row],[BJP Vote Share]]-Telengana_Reaults_2019[[#This Row],[Max Votes Share other than BJP]]</f>
        <v>-0.25087640766999997</v>
      </c>
      <c r="R331">
        <v>1300194</v>
      </c>
      <c r="S331">
        <v>2443112</v>
      </c>
      <c r="T331" s="10">
        <v>0.53218763609999997</v>
      </c>
      <c r="U331" s="1" t="s">
        <v>68</v>
      </c>
    </row>
    <row r="332" spans="1:21" x14ac:dyDescent="0.35">
      <c r="A332" s="1" t="s">
        <v>18</v>
      </c>
      <c r="B332" s="1" t="s">
        <v>19</v>
      </c>
      <c r="C332" s="1" t="s">
        <v>1126</v>
      </c>
      <c r="D332" s="1" t="s">
        <v>619</v>
      </c>
      <c r="E332" s="1" t="s">
        <v>35</v>
      </c>
      <c r="F332" s="1" t="s">
        <v>125</v>
      </c>
      <c r="G332" s="1" t="s">
        <v>112</v>
      </c>
      <c r="H332" s="1" t="s">
        <v>53</v>
      </c>
      <c r="I332" s="1" t="s">
        <v>491</v>
      </c>
      <c r="J332">
        <v>3860</v>
      </c>
      <c r="K332" s="9">
        <v>2.9687877348E-3</v>
      </c>
      <c r="L332" s="9">
        <v>0.40620707370999998</v>
      </c>
      <c r="M332">
        <v>528148</v>
      </c>
      <c r="N332">
        <v>201960</v>
      </c>
      <c r="O332" s="9">
        <v>0.15533066604000001</v>
      </c>
      <c r="P332" s="11">
        <f>Telengana_Reaults_2019[[#This Row],[BJP Votes]]-Telengana_Reaults_2019[[#This Row],[Max Votes Other than BJP]]</f>
        <v>-326188</v>
      </c>
      <c r="Q332" s="9">
        <f>Telengana_Reaults_2019[[#This Row],[BJP Vote Share]]-Telengana_Reaults_2019[[#This Row],[Max Votes Share other than BJP]]</f>
        <v>-0.25087640766999997</v>
      </c>
      <c r="R332">
        <v>1300194</v>
      </c>
      <c r="S332">
        <v>2443112</v>
      </c>
      <c r="T332" s="10">
        <v>0.53218763609999997</v>
      </c>
      <c r="U332" s="1" t="s">
        <v>68</v>
      </c>
    </row>
    <row r="333" spans="1:21" x14ac:dyDescent="0.35">
      <c r="A333" s="1" t="s">
        <v>18</v>
      </c>
      <c r="B333" s="1" t="s">
        <v>19</v>
      </c>
      <c r="C333" s="1" t="s">
        <v>1126</v>
      </c>
      <c r="D333" s="1" t="s">
        <v>620</v>
      </c>
      <c r="E333" s="1" t="s">
        <v>21</v>
      </c>
      <c r="F333" s="1" t="s">
        <v>135</v>
      </c>
      <c r="G333" s="1" t="s">
        <v>67</v>
      </c>
      <c r="H333" s="1" t="s">
        <v>53</v>
      </c>
      <c r="I333" s="1" t="s">
        <v>38</v>
      </c>
      <c r="J333">
        <v>6732</v>
      </c>
      <c r="K333" s="9">
        <v>5.1776888679999997E-3</v>
      </c>
      <c r="L333" s="9">
        <v>0.40620707370999998</v>
      </c>
      <c r="M333">
        <v>528148</v>
      </c>
      <c r="N333">
        <v>201960</v>
      </c>
      <c r="O333" s="9">
        <v>0.15533066604000001</v>
      </c>
      <c r="P333" s="11">
        <f>Telengana_Reaults_2019[[#This Row],[BJP Votes]]-Telengana_Reaults_2019[[#This Row],[Max Votes Other than BJP]]</f>
        <v>-326188</v>
      </c>
      <c r="Q333" s="9">
        <f>Telengana_Reaults_2019[[#This Row],[BJP Vote Share]]-Telengana_Reaults_2019[[#This Row],[Max Votes Share other than BJP]]</f>
        <v>-0.25087640766999997</v>
      </c>
      <c r="R333">
        <v>1300194</v>
      </c>
      <c r="S333">
        <v>2443112</v>
      </c>
      <c r="T333" s="10">
        <v>0.53218763609999997</v>
      </c>
      <c r="U333" s="1" t="s">
        <v>68</v>
      </c>
    </row>
    <row r="334" spans="1:21" x14ac:dyDescent="0.35">
      <c r="A334" s="1" t="s">
        <v>18</v>
      </c>
      <c r="B334" s="1" t="s">
        <v>19</v>
      </c>
      <c r="C334" s="1" t="s">
        <v>1126</v>
      </c>
      <c r="D334" s="1" t="s">
        <v>621</v>
      </c>
      <c r="E334" s="1" t="s">
        <v>21</v>
      </c>
      <c r="F334" s="1" t="s">
        <v>200</v>
      </c>
      <c r="G334" s="1" t="s">
        <v>67</v>
      </c>
      <c r="H334" s="1" t="s">
        <v>53</v>
      </c>
      <c r="I334" s="1" t="s">
        <v>107</v>
      </c>
      <c r="J334">
        <v>1396</v>
      </c>
      <c r="K334" s="9">
        <v>1.0736859268999999E-3</v>
      </c>
      <c r="L334" s="9">
        <v>0.40620707370999998</v>
      </c>
      <c r="M334">
        <v>528148</v>
      </c>
      <c r="N334">
        <v>201960</v>
      </c>
      <c r="O334" s="9">
        <v>0.15533066604000001</v>
      </c>
      <c r="P334" s="11">
        <f>Telengana_Reaults_2019[[#This Row],[BJP Votes]]-Telengana_Reaults_2019[[#This Row],[Max Votes Other than BJP]]</f>
        <v>-326188</v>
      </c>
      <c r="Q334" s="9">
        <f>Telengana_Reaults_2019[[#This Row],[BJP Vote Share]]-Telengana_Reaults_2019[[#This Row],[Max Votes Share other than BJP]]</f>
        <v>-0.25087640766999997</v>
      </c>
      <c r="R334">
        <v>1300194</v>
      </c>
      <c r="S334">
        <v>2443112</v>
      </c>
      <c r="T334" s="10">
        <v>0.53218763609999997</v>
      </c>
      <c r="U334" s="1" t="s">
        <v>68</v>
      </c>
    </row>
    <row r="335" spans="1:21" x14ac:dyDescent="0.35">
      <c r="A335" s="1" t="s">
        <v>18</v>
      </c>
      <c r="B335" s="1" t="s">
        <v>19</v>
      </c>
      <c r="C335" s="1" t="s">
        <v>1126</v>
      </c>
      <c r="D335" s="1" t="s">
        <v>622</v>
      </c>
      <c r="E335" s="1" t="s">
        <v>21</v>
      </c>
      <c r="F335" s="1" t="s">
        <v>48</v>
      </c>
      <c r="G335" s="1" t="s">
        <v>67</v>
      </c>
      <c r="H335" s="1" t="s">
        <v>53</v>
      </c>
      <c r="I335" s="1" t="s">
        <v>427</v>
      </c>
      <c r="J335">
        <v>1078</v>
      </c>
      <c r="K335" s="9">
        <v>8.2910704095000005E-4</v>
      </c>
      <c r="L335" s="9">
        <v>0.40620707370999998</v>
      </c>
      <c r="M335">
        <v>528148</v>
      </c>
      <c r="N335">
        <v>201960</v>
      </c>
      <c r="O335" s="9">
        <v>0.15533066604000001</v>
      </c>
      <c r="P335" s="11">
        <f>Telengana_Reaults_2019[[#This Row],[BJP Votes]]-Telengana_Reaults_2019[[#This Row],[Max Votes Other than BJP]]</f>
        <v>-326188</v>
      </c>
      <c r="Q335" s="9">
        <f>Telengana_Reaults_2019[[#This Row],[BJP Vote Share]]-Telengana_Reaults_2019[[#This Row],[Max Votes Share other than BJP]]</f>
        <v>-0.25087640766999997</v>
      </c>
      <c r="R335">
        <v>1300194</v>
      </c>
      <c r="S335">
        <v>2443112</v>
      </c>
      <c r="T335" s="10">
        <v>0.53218763609999997</v>
      </c>
      <c r="U335" s="1" t="s">
        <v>68</v>
      </c>
    </row>
    <row r="336" spans="1:21" x14ac:dyDescent="0.35">
      <c r="A336" s="1" t="s">
        <v>18</v>
      </c>
      <c r="B336" s="1" t="s">
        <v>19</v>
      </c>
      <c r="C336" s="1" t="s">
        <v>1126</v>
      </c>
      <c r="D336" s="1" t="s">
        <v>623</v>
      </c>
      <c r="E336" s="1" t="s">
        <v>21</v>
      </c>
      <c r="F336" s="1" t="s">
        <v>44</v>
      </c>
      <c r="G336" s="1" t="s">
        <v>67</v>
      </c>
      <c r="H336" s="1" t="s">
        <v>53</v>
      </c>
      <c r="I336" s="1" t="s">
        <v>425</v>
      </c>
      <c r="J336">
        <v>1805</v>
      </c>
      <c r="K336" s="9">
        <v>1.3882543682E-3</v>
      </c>
      <c r="L336" s="9">
        <v>0.40620707370999998</v>
      </c>
      <c r="M336">
        <v>528148</v>
      </c>
      <c r="N336">
        <v>201960</v>
      </c>
      <c r="O336" s="9">
        <v>0.15533066604000001</v>
      </c>
      <c r="P336" s="11">
        <f>Telengana_Reaults_2019[[#This Row],[BJP Votes]]-Telengana_Reaults_2019[[#This Row],[Max Votes Other than BJP]]</f>
        <v>-326188</v>
      </c>
      <c r="Q336" s="9">
        <f>Telengana_Reaults_2019[[#This Row],[BJP Vote Share]]-Telengana_Reaults_2019[[#This Row],[Max Votes Share other than BJP]]</f>
        <v>-0.25087640766999997</v>
      </c>
      <c r="R336">
        <v>1300194</v>
      </c>
      <c r="S336">
        <v>2443112</v>
      </c>
      <c r="T336" s="10">
        <v>0.53218763609999997</v>
      </c>
      <c r="U336" s="1" t="s">
        <v>68</v>
      </c>
    </row>
    <row r="337" spans="1:21" x14ac:dyDescent="0.35">
      <c r="A337" s="1" t="s">
        <v>18</v>
      </c>
      <c r="B337" s="1" t="s">
        <v>19</v>
      </c>
      <c r="C337" s="1" t="s">
        <v>1126</v>
      </c>
      <c r="D337" s="1" t="s">
        <v>624</v>
      </c>
      <c r="E337" s="1" t="s">
        <v>21</v>
      </c>
      <c r="F337" s="1" t="s">
        <v>99</v>
      </c>
      <c r="G337" s="1" t="s">
        <v>112</v>
      </c>
      <c r="H337" s="1" t="s">
        <v>53</v>
      </c>
      <c r="I337" s="1" t="s">
        <v>54</v>
      </c>
      <c r="J337">
        <v>781</v>
      </c>
      <c r="K337" s="9">
        <v>6.0067959089000003E-4</v>
      </c>
      <c r="L337" s="9">
        <v>0.40620707370999998</v>
      </c>
      <c r="M337">
        <v>528148</v>
      </c>
      <c r="N337">
        <v>201960</v>
      </c>
      <c r="O337" s="9">
        <v>0.15533066604000001</v>
      </c>
      <c r="P337" s="11">
        <f>Telengana_Reaults_2019[[#This Row],[BJP Votes]]-Telengana_Reaults_2019[[#This Row],[Max Votes Other than BJP]]</f>
        <v>-326188</v>
      </c>
      <c r="Q337" s="9">
        <f>Telengana_Reaults_2019[[#This Row],[BJP Vote Share]]-Telengana_Reaults_2019[[#This Row],[Max Votes Share other than BJP]]</f>
        <v>-0.25087640766999997</v>
      </c>
      <c r="R337">
        <v>1300194</v>
      </c>
      <c r="S337">
        <v>2443112</v>
      </c>
      <c r="T337" s="10">
        <v>0.53218763609999997</v>
      </c>
      <c r="U337" s="1" t="s">
        <v>68</v>
      </c>
    </row>
    <row r="338" spans="1:21" x14ac:dyDescent="0.35">
      <c r="A338" s="1" t="s">
        <v>18</v>
      </c>
      <c r="B338" s="1" t="s">
        <v>19</v>
      </c>
      <c r="C338" s="1" t="s">
        <v>1126</v>
      </c>
      <c r="D338" s="1" t="s">
        <v>625</v>
      </c>
      <c r="E338" s="1" t="s">
        <v>21</v>
      </c>
      <c r="F338" s="1" t="s">
        <v>165</v>
      </c>
      <c r="G338" s="1" t="s">
        <v>112</v>
      </c>
      <c r="H338" s="1" t="s">
        <v>53</v>
      </c>
      <c r="I338" s="1" t="s">
        <v>228</v>
      </c>
      <c r="J338">
        <v>771</v>
      </c>
      <c r="K338" s="9">
        <v>5.9298843096000002E-4</v>
      </c>
      <c r="L338" s="9">
        <v>0.40620707370999998</v>
      </c>
      <c r="M338">
        <v>528148</v>
      </c>
      <c r="N338">
        <v>201960</v>
      </c>
      <c r="O338" s="9">
        <v>0.15533066604000001</v>
      </c>
      <c r="P338" s="11">
        <f>Telengana_Reaults_2019[[#This Row],[BJP Votes]]-Telengana_Reaults_2019[[#This Row],[Max Votes Other than BJP]]</f>
        <v>-326188</v>
      </c>
      <c r="Q338" s="9">
        <f>Telengana_Reaults_2019[[#This Row],[BJP Vote Share]]-Telengana_Reaults_2019[[#This Row],[Max Votes Share other than BJP]]</f>
        <v>-0.25087640766999997</v>
      </c>
      <c r="R338">
        <v>1300194</v>
      </c>
      <c r="S338">
        <v>2443112</v>
      </c>
      <c r="T338" s="10">
        <v>0.53218763609999997</v>
      </c>
      <c r="U338" s="1" t="s">
        <v>68</v>
      </c>
    </row>
    <row r="339" spans="1:21" x14ac:dyDescent="0.35">
      <c r="A339" s="1" t="s">
        <v>18</v>
      </c>
      <c r="B339" s="1" t="s">
        <v>19</v>
      </c>
      <c r="C339" s="1" t="s">
        <v>1126</v>
      </c>
      <c r="D339" s="1" t="s">
        <v>64</v>
      </c>
      <c r="E339" s="1" t="s">
        <v>64</v>
      </c>
      <c r="F339" s="1" t="s">
        <v>64</v>
      </c>
      <c r="G339" s="1" t="s">
        <v>64</v>
      </c>
      <c r="H339" s="1" t="s">
        <v>64</v>
      </c>
      <c r="I339" s="1" t="s">
        <v>64</v>
      </c>
      <c r="J339">
        <v>9244</v>
      </c>
      <c r="K339" s="9">
        <v>7.1097082434999999E-3</v>
      </c>
      <c r="L339" s="9">
        <v>0.40620707370999998</v>
      </c>
      <c r="M339">
        <v>528148</v>
      </c>
      <c r="N339">
        <v>201960</v>
      </c>
      <c r="O339" s="9">
        <v>0.15533066604000001</v>
      </c>
      <c r="P339" s="11">
        <f>Telengana_Reaults_2019[[#This Row],[BJP Votes]]-Telengana_Reaults_2019[[#This Row],[Max Votes Other than BJP]]</f>
        <v>-326188</v>
      </c>
      <c r="Q339" s="9">
        <f>Telengana_Reaults_2019[[#This Row],[BJP Vote Share]]-Telengana_Reaults_2019[[#This Row],[Max Votes Share other than BJP]]</f>
        <v>-0.25087640766999997</v>
      </c>
      <c r="R339">
        <v>1300194</v>
      </c>
      <c r="S339">
        <v>2443112</v>
      </c>
      <c r="T339" s="10">
        <v>0.53218763609999997</v>
      </c>
      <c r="U339" s="1" t="s">
        <v>68</v>
      </c>
    </row>
    <row r="340" spans="1:21" x14ac:dyDescent="0.35">
      <c r="A340" s="1" t="s">
        <v>18</v>
      </c>
      <c r="B340" s="1" t="s">
        <v>19</v>
      </c>
      <c r="C340" s="1" t="s">
        <v>626</v>
      </c>
      <c r="D340" s="1" t="s">
        <v>627</v>
      </c>
      <c r="E340" s="1" t="s">
        <v>35</v>
      </c>
      <c r="F340" s="1" t="s">
        <v>115</v>
      </c>
      <c r="G340" s="1" t="s">
        <v>112</v>
      </c>
      <c r="H340" s="1" t="s">
        <v>32</v>
      </c>
      <c r="I340" s="1" t="s">
        <v>33</v>
      </c>
      <c r="J340">
        <v>333573</v>
      </c>
      <c r="K340" s="9">
        <v>0.33877867308999998</v>
      </c>
      <c r="L340" s="9">
        <v>0.41782225680000001</v>
      </c>
      <c r="M340">
        <v>411402</v>
      </c>
      <c r="N340">
        <v>333573</v>
      </c>
      <c r="O340" s="9">
        <v>0.33877867308999998</v>
      </c>
      <c r="P340" s="11">
        <f>Telengana_Reaults_2019[[#This Row],[BJP Votes]]-Telengana_Reaults_2019[[#This Row],[Max Votes Other than BJP]]</f>
        <v>-77829</v>
      </c>
      <c r="Q340" s="9">
        <f>Telengana_Reaults_2019[[#This Row],[BJP Vote Share]]-Telengana_Reaults_2019[[#This Row],[Max Votes Share other than BJP]]</f>
        <v>-7.9043583710000032E-2</v>
      </c>
      <c r="R340">
        <v>984634</v>
      </c>
      <c r="S340">
        <v>1506102</v>
      </c>
      <c r="T340" s="10">
        <v>0.65376315813999997</v>
      </c>
      <c r="U340" s="1" t="s">
        <v>68</v>
      </c>
    </row>
    <row r="341" spans="1:21" x14ac:dyDescent="0.35">
      <c r="A341" s="1" t="s">
        <v>18</v>
      </c>
      <c r="B341" s="1" t="s">
        <v>19</v>
      </c>
      <c r="C341" s="1" t="s">
        <v>626</v>
      </c>
      <c r="D341" s="1" t="s">
        <v>628</v>
      </c>
      <c r="E341" s="1" t="s">
        <v>21</v>
      </c>
      <c r="F341" s="1" t="s">
        <v>44</v>
      </c>
      <c r="G341" s="1" t="s">
        <v>112</v>
      </c>
      <c r="H341" s="1" t="s">
        <v>29</v>
      </c>
      <c r="I341" s="1" t="s">
        <v>30</v>
      </c>
      <c r="J341">
        <v>193631</v>
      </c>
      <c r="K341" s="9">
        <v>0.19665276641000001</v>
      </c>
      <c r="L341" s="9">
        <v>0.41782225680000001</v>
      </c>
      <c r="M341">
        <v>411402</v>
      </c>
      <c r="N341">
        <v>333573</v>
      </c>
      <c r="O341" s="9">
        <v>0.33877867308999998</v>
      </c>
      <c r="P341" s="11">
        <f>Telengana_Reaults_2019[[#This Row],[BJP Votes]]-Telengana_Reaults_2019[[#This Row],[Max Votes Other than BJP]]</f>
        <v>-77829</v>
      </c>
      <c r="Q341" s="9">
        <f>Telengana_Reaults_2019[[#This Row],[BJP Vote Share]]-Telengana_Reaults_2019[[#This Row],[Max Votes Share other than BJP]]</f>
        <v>-7.9043583710000032E-2</v>
      </c>
      <c r="R341">
        <v>984634</v>
      </c>
      <c r="S341">
        <v>1506102</v>
      </c>
      <c r="T341" s="10">
        <v>0.65376315813999997</v>
      </c>
      <c r="U341" s="1" t="s">
        <v>68</v>
      </c>
    </row>
    <row r="342" spans="1:21" x14ac:dyDescent="0.35">
      <c r="A342" s="1" t="s">
        <v>18</v>
      </c>
      <c r="B342" s="1" t="s">
        <v>19</v>
      </c>
      <c r="C342" s="1" t="s">
        <v>626</v>
      </c>
      <c r="D342" s="1" t="s">
        <v>629</v>
      </c>
      <c r="E342" s="1" t="s">
        <v>21</v>
      </c>
      <c r="F342" s="1" t="s">
        <v>66</v>
      </c>
      <c r="G342" s="1" t="s">
        <v>112</v>
      </c>
      <c r="H342" s="1" t="s">
        <v>24</v>
      </c>
      <c r="I342" s="1" t="s">
        <v>25</v>
      </c>
      <c r="J342">
        <v>411402</v>
      </c>
      <c r="K342" s="9">
        <v>0.41782225680000001</v>
      </c>
      <c r="L342" s="9">
        <v>0.41782225680000001</v>
      </c>
      <c r="M342">
        <v>411402</v>
      </c>
      <c r="N342">
        <v>333573</v>
      </c>
      <c r="O342" s="9">
        <v>0.33877867308999998</v>
      </c>
      <c r="P342" s="11">
        <f>Telengana_Reaults_2019[[#This Row],[BJP Votes]]-Telengana_Reaults_2019[[#This Row],[Max Votes Other than BJP]]</f>
        <v>-77829</v>
      </c>
      <c r="Q342" s="9">
        <f>Telengana_Reaults_2019[[#This Row],[BJP Vote Share]]-Telengana_Reaults_2019[[#This Row],[Max Votes Share other than BJP]]</f>
        <v>-7.9043583710000032E-2</v>
      </c>
      <c r="R342">
        <v>984634</v>
      </c>
      <c r="S342">
        <v>1506102</v>
      </c>
      <c r="T342" s="10">
        <v>0.65376315813999997</v>
      </c>
      <c r="U342" s="1" t="s">
        <v>68</v>
      </c>
    </row>
    <row r="343" spans="1:21" x14ac:dyDescent="0.35">
      <c r="A343" s="1" t="s">
        <v>18</v>
      </c>
      <c r="B343" s="1" t="s">
        <v>19</v>
      </c>
      <c r="C343" s="1" t="s">
        <v>626</v>
      </c>
      <c r="D343" s="1" t="s">
        <v>630</v>
      </c>
      <c r="E343" s="1" t="s">
        <v>21</v>
      </c>
      <c r="F343" s="1" t="s">
        <v>59</v>
      </c>
      <c r="G343" s="1" t="s">
        <v>112</v>
      </c>
      <c r="H343" s="1" t="s">
        <v>512</v>
      </c>
      <c r="I343" s="1" t="s">
        <v>291</v>
      </c>
      <c r="J343">
        <v>4462</v>
      </c>
      <c r="K343" s="9">
        <v>4.5316330738000002E-3</v>
      </c>
      <c r="L343" s="9">
        <v>0.41782225680000001</v>
      </c>
      <c r="M343">
        <v>411402</v>
      </c>
      <c r="N343">
        <v>333573</v>
      </c>
      <c r="O343" s="9">
        <v>0.33877867308999998</v>
      </c>
      <c r="P343" s="11">
        <f>Telengana_Reaults_2019[[#This Row],[BJP Votes]]-Telengana_Reaults_2019[[#This Row],[Max Votes Other than BJP]]</f>
        <v>-77829</v>
      </c>
      <c r="Q343" s="9">
        <f>Telengana_Reaults_2019[[#This Row],[BJP Vote Share]]-Telengana_Reaults_2019[[#This Row],[Max Votes Share other than BJP]]</f>
        <v>-7.9043583710000032E-2</v>
      </c>
      <c r="R343">
        <v>984634</v>
      </c>
      <c r="S343">
        <v>1506102</v>
      </c>
      <c r="T343" s="10">
        <v>0.65376315813999997</v>
      </c>
      <c r="U343" s="1" t="s">
        <v>68</v>
      </c>
    </row>
    <row r="344" spans="1:21" x14ac:dyDescent="0.35">
      <c r="A344" s="1" t="s">
        <v>18</v>
      </c>
      <c r="B344" s="1" t="s">
        <v>19</v>
      </c>
      <c r="C344" s="1" t="s">
        <v>626</v>
      </c>
      <c r="D344" s="1" t="s">
        <v>631</v>
      </c>
      <c r="E344" s="1" t="s">
        <v>21</v>
      </c>
      <c r="F344" s="1" t="s">
        <v>143</v>
      </c>
      <c r="G344" s="1" t="s">
        <v>23</v>
      </c>
      <c r="H344" s="1" t="s">
        <v>150</v>
      </c>
      <c r="I344" s="1" t="s">
        <v>151</v>
      </c>
      <c r="J344">
        <v>2482</v>
      </c>
      <c r="K344" s="9">
        <v>2.5207335924E-3</v>
      </c>
      <c r="L344" s="9">
        <v>0.41782225680000001</v>
      </c>
      <c r="M344">
        <v>411402</v>
      </c>
      <c r="N344">
        <v>333573</v>
      </c>
      <c r="O344" s="9">
        <v>0.33877867308999998</v>
      </c>
      <c r="P344" s="11">
        <f>Telengana_Reaults_2019[[#This Row],[BJP Votes]]-Telengana_Reaults_2019[[#This Row],[Max Votes Other than BJP]]</f>
        <v>-77829</v>
      </c>
      <c r="Q344" s="9">
        <f>Telengana_Reaults_2019[[#This Row],[BJP Vote Share]]-Telengana_Reaults_2019[[#This Row],[Max Votes Share other than BJP]]</f>
        <v>-7.9043583710000032E-2</v>
      </c>
      <c r="R344">
        <v>984634</v>
      </c>
      <c r="S344">
        <v>1506102</v>
      </c>
      <c r="T344" s="10">
        <v>0.65376315813999997</v>
      </c>
      <c r="U344" s="1" t="s">
        <v>68</v>
      </c>
    </row>
    <row r="345" spans="1:21" x14ac:dyDescent="0.35">
      <c r="A345" s="1" t="s">
        <v>18</v>
      </c>
      <c r="B345" s="1" t="s">
        <v>19</v>
      </c>
      <c r="C345" s="1" t="s">
        <v>626</v>
      </c>
      <c r="D345" s="1" t="s">
        <v>632</v>
      </c>
      <c r="E345" s="1" t="s">
        <v>21</v>
      </c>
      <c r="F345" s="1" t="s">
        <v>106</v>
      </c>
      <c r="G345" s="1" t="s">
        <v>112</v>
      </c>
      <c r="H345" s="1" t="s">
        <v>633</v>
      </c>
      <c r="I345" s="1" t="s">
        <v>345</v>
      </c>
      <c r="J345">
        <v>2012</v>
      </c>
      <c r="K345" s="9">
        <v>2.0433988670000001E-3</v>
      </c>
      <c r="L345" s="9">
        <v>0.41782225680000001</v>
      </c>
      <c r="M345">
        <v>411402</v>
      </c>
      <c r="N345">
        <v>333573</v>
      </c>
      <c r="O345" s="9">
        <v>0.33877867308999998</v>
      </c>
      <c r="P345" s="11">
        <f>Telengana_Reaults_2019[[#This Row],[BJP Votes]]-Telengana_Reaults_2019[[#This Row],[Max Votes Other than BJP]]</f>
        <v>-77829</v>
      </c>
      <c r="Q345" s="9">
        <f>Telengana_Reaults_2019[[#This Row],[BJP Vote Share]]-Telengana_Reaults_2019[[#This Row],[Max Votes Share other than BJP]]</f>
        <v>-7.9043583710000032E-2</v>
      </c>
      <c r="R345">
        <v>984634</v>
      </c>
      <c r="S345">
        <v>1506102</v>
      </c>
      <c r="T345" s="10">
        <v>0.65376315813999997</v>
      </c>
      <c r="U345" s="1" t="s">
        <v>68</v>
      </c>
    </row>
    <row r="346" spans="1:21" x14ac:dyDescent="0.35">
      <c r="A346" s="1" t="s">
        <v>18</v>
      </c>
      <c r="B346" s="1" t="s">
        <v>19</v>
      </c>
      <c r="C346" s="1" t="s">
        <v>626</v>
      </c>
      <c r="D346" s="1" t="s">
        <v>634</v>
      </c>
      <c r="E346" s="1" t="s">
        <v>21</v>
      </c>
      <c r="F346" s="1" t="s">
        <v>173</v>
      </c>
      <c r="G346" s="1" t="s">
        <v>112</v>
      </c>
      <c r="H346" s="1" t="s">
        <v>53</v>
      </c>
      <c r="I346" s="1" t="s">
        <v>167</v>
      </c>
      <c r="J346">
        <v>1499</v>
      </c>
      <c r="K346" s="9">
        <v>1.5223930923E-3</v>
      </c>
      <c r="L346" s="9">
        <v>0.41782225680000001</v>
      </c>
      <c r="M346">
        <v>411402</v>
      </c>
      <c r="N346">
        <v>333573</v>
      </c>
      <c r="O346" s="9">
        <v>0.33877867308999998</v>
      </c>
      <c r="P346" s="11">
        <f>Telengana_Reaults_2019[[#This Row],[BJP Votes]]-Telengana_Reaults_2019[[#This Row],[Max Votes Other than BJP]]</f>
        <v>-77829</v>
      </c>
      <c r="Q346" s="9">
        <f>Telengana_Reaults_2019[[#This Row],[BJP Vote Share]]-Telengana_Reaults_2019[[#This Row],[Max Votes Share other than BJP]]</f>
        <v>-7.9043583710000032E-2</v>
      </c>
      <c r="R346">
        <v>984634</v>
      </c>
      <c r="S346">
        <v>1506102</v>
      </c>
      <c r="T346" s="10">
        <v>0.65376315813999997</v>
      </c>
      <c r="U346" s="1" t="s">
        <v>68</v>
      </c>
    </row>
    <row r="347" spans="1:21" x14ac:dyDescent="0.35">
      <c r="A347" s="1" t="s">
        <v>18</v>
      </c>
      <c r="B347" s="1" t="s">
        <v>19</v>
      </c>
      <c r="C347" s="1" t="s">
        <v>626</v>
      </c>
      <c r="D347" s="1" t="s">
        <v>635</v>
      </c>
      <c r="E347" s="1" t="s">
        <v>21</v>
      </c>
      <c r="F347" s="1" t="s">
        <v>120</v>
      </c>
      <c r="G347" s="1" t="s">
        <v>112</v>
      </c>
      <c r="H347" s="1" t="s">
        <v>53</v>
      </c>
      <c r="I347" s="1" t="s">
        <v>284</v>
      </c>
      <c r="J347">
        <v>8495</v>
      </c>
      <c r="K347" s="9">
        <v>8.6275712599999995E-3</v>
      </c>
      <c r="L347" s="9">
        <v>0.41782225680000001</v>
      </c>
      <c r="M347">
        <v>411402</v>
      </c>
      <c r="N347">
        <v>333573</v>
      </c>
      <c r="O347" s="9">
        <v>0.33877867308999998</v>
      </c>
      <c r="P347" s="11">
        <f>Telengana_Reaults_2019[[#This Row],[BJP Votes]]-Telengana_Reaults_2019[[#This Row],[Max Votes Other than BJP]]</f>
        <v>-77829</v>
      </c>
      <c r="Q347" s="9">
        <f>Telengana_Reaults_2019[[#This Row],[BJP Vote Share]]-Telengana_Reaults_2019[[#This Row],[Max Votes Share other than BJP]]</f>
        <v>-7.9043583710000032E-2</v>
      </c>
      <c r="R347">
        <v>984634</v>
      </c>
      <c r="S347">
        <v>1506102</v>
      </c>
      <c r="T347" s="10">
        <v>0.65376315813999997</v>
      </c>
      <c r="U347" s="1" t="s">
        <v>68</v>
      </c>
    </row>
    <row r="348" spans="1:21" x14ac:dyDescent="0.35">
      <c r="A348" s="1" t="s">
        <v>18</v>
      </c>
      <c r="B348" s="1" t="s">
        <v>19</v>
      </c>
      <c r="C348" s="1" t="s">
        <v>626</v>
      </c>
      <c r="D348" s="1" t="s">
        <v>636</v>
      </c>
      <c r="E348" s="1" t="s">
        <v>21</v>
      </c>
      <c r="F348" s="1" t="s">
        <v>95</v>
      </c>
      <c r="G348" s="1" t="s">
        <v>112</v>
      </c>
      <c r="H348" s="1" t="s">
        <v>53</v>
      </c>
      <c r="I348" s="1" t="s">
        <v>63</v>
      </c>
      <c r="J348">
        <v>2471</v>
      </c>
      <c r="K348" s="9">
        <v>2.5095619285999998E-3</v>
      </c>
      <c r="L348" s="9">
        <v>0.41782225680000001</v>
      </c>
      <c r="M348">
        <v>411402</v>
      </c>
      <c r="N348">
        <v>333573</v>
      </c>
      <c r="O348" s="9">
        <v>0.33877867308999998</v>
      </c>
      <c r="P348" s="11">
        <f>Telengana_Reaults_2019[[#This Row],[BJP Votes]]-Telengana_Reaults_2019[[#This Row],[Max Votes Other than BJP]]</f>
        <v>-77829</v>
      </c>
      <c r="Q348" s="9">
        <f>Telengana_Reaults_2019[[#This Row],[BJP Vote Share]]-Telengana_Reaults_2019[[#This Row],[Max Votes Share other than BJP]]</f>
        <v>-7.9043583710000032E-2</v>
      </c>
      <c r="R348">
        <v>984634</v>
      </c>
      <c r="S348">
        <v>1506102</v>
      </c>
      <c r="T348" s="10">
        <v>0.65376315813999997</v>
      </c>
      <c r="U348" s="1" t="s">
        <v>68</v>
      </c>
    </row>
    <row r="349" spans="1:21" x14ac:dyDescent="0.35">
      <c r="A349" s="1" t="s">
        <v>18</v>
      </c>
      <c r="B349" s="1" t="s">
        <v>19</v>
      </c>
      <c r="C349" s="1" t="s">
        <v>626</v>
      </c>
      <c r="D349" s="1" t="s">
        <v>637</v>
      </c>
      <c r="E349" s="1" t="s">
        <v>21</v>
      </c>
      <c r="F349" s="1" t="s">
        <v>52</v>
      </c>
      <c r="G349" s="1" t="s">
        <v>67</v>
      </c>
      <c r="H349" s="1" t="s">
        <v>53</v>
      </c>
      <c r="I349" s="1" t="s">
        <v>295</v>
      </c>
      <c r="J349">
        <v>3489</v>
      </c>
      <c r="K349" s="9">
        <v>3.5434486316999999E-3</v>
      </c>
      <c r="L349" s="9">
        <v>0.41782225680000001</v>
      </c>
      <c r="M349">
        <v>411402</v>
      </c>
      <c r="N349">
        <v>333573</v>
      </c>
      <c r="O349" s="9">
        <v>0.33877867308999998</v>
      </c>
      <c r="P349" s="11">
        <f>Telengana_Reaults_2019[[#This Row],[BJP Votes]]-Telengana_Reaults_2019[[#This Row],[Max Votes Other than BJP]]</f>
        <v>-77829</v>
      </c>
      <c r="Q349" s="9">
        <f>Telengana_Reaults_2019[[#This Row],[BJP Vote Share]]-Telengana_Reaults_2019[[#This Row],[Max Votes Share other than BJP]]</f>
        <v>-7.9043583710000032E-2</v>
      </c>
      <c r="R349">
        <v>984634</v>
      </c>
      <c r="S349">
        <v>1506102</v>
      </c>
      <c r="T349" s="10">
        <v>0.65376315813999997</v>
      </c>
      <c r="U349" s="1" t="s">
        <v>68</v>
      </c>
    </row>
    <row r="350" spans="1:21" x14ac:dyDescent="0.35">
      <c r="A350" s="1" t="s">
        <v>18</v>
      </c>
      <c r="B350" s="1" t="s">
        <v>19</v>
      </c>
      <c r="C350" s="1" t="s">
        <v>626</v>
      </c>
      <c r="D350" s="1" t="s">
        <v>638</v>
      </c>
      <c r="E350" s="1" t="s">
        <v>21</v>
      </c>
      <c r="F350" s="1" t="s">
        <v>71</v>
      </c>
      <c r="G350" s="1" t="s">
        <v>112</v>
      </c>
      <c r="H350" s="1" t="s">
        <v>53</v>
      </c>
      <c r="I350" s="1" t="s">
        <v>136</v>
      </c>
      <c r="J350">
        <v>5783</v>
      </c>
      <c r="K350" s="9">
        <v>5.8732483338999998E-3</v>
      </c>
      <c r="L350" s="9">
        <v>0.41782225680000001</v>
      </c>
      <c r="M350">
        <v>411402</v>
      </c>
      <c r="N350">
        <v>333573</v>
      </c>
      <c r="O350" s="9">
        <v>0.33877867308999998</v>
      </c>
      <c r="P350" s="11">
        <f>Telengana_Reaults_2019[[#This Row],[BJP Votes]]-Telengana_Reaults_2019[[#This Row],[Max Votes Other than BJP]]</f>
        <v>-77829</v>
      </c>
      <c r="Q350" s="9">
        <f>Telengana_Reaults_2019[[#This Row],[BJP Vote Share]]-Telengana_Reaults_2019[[#This Row],[Max Votes Share other than BJP]]</f>
        <v>-7.9043583710000032E-2</v>
      </c>
      <c r="R350">
        <v>984634</v>
      </c>
      <c r="S350">
        <v>1506102</v>
      </c>
      <c r="T350" s="10">
        <v>0.65376315813999997</v>
      </c>
      <c r="U350" s="1" t="s">
        <v>68</v>
      </c>
    </row>
    <row r="351" spans="1:21" x14ac:dyDescent="0.35">
      <c r="A351" s="1" t="s">
        <v>18</v>
      </c>
      <c r="B351" s="1" t="s">
        <v>19</v>
      </c>
      <c r="C351" s="1" t="s">
        <v>626</v>
      </c>
      <c r="D351" s="1" t="s">
        <v>639</v>
      </c>
      <c r="E351" s="1" t="s">
        <v>21</v>
      </c>
      <c r="F351" s="1" t="s">
        <v>59</v>
      </c>
      <c r="G351" s="1" t="s">
        <v>112</v>
      </c>
      <c r="H351" s="1" t="s">
        <v>53</v>
      </c>
      <c r="I351" s="1" t="s">
        <v>57</v>
      </c>
      <c r="J351">
        <v>4735</v>
      </c>
      <c r="K351" s="9">
        <v>4.8088934569000003E-3</v>
      </c>
      <c r="L351" s="9">
        <v>0.41782225680000001</v>
      </c>
      <c r="M351">
        <v>411402</v>
      </c>
      <c r="N351">
        <v>333573</v>
      </c>
      <c r="O351" s="9">
        <v>0.33877867308999998</v>
      </c>
      <c r="P351" s="11">
        <f>Telengana_Reaults_2019[[#This Row],[BJP Votes]]-Telengana_Reaults_2019[[#This Row],[Max Votes Other than BJP]]</f>
        <v>-77829</v>
      </c>
      <c r="Q351" s="9">
        <f>Telengana_Reaults_2019[[#This Row],[BJP Vote Share]]-Telengana_Reaults_2019[[#This Row],[Max Votes Share other than BJP]]</f>
        <v>-7.9043583710000032E-2</v>
      </c>
      <c r="R351">
        <v>984634</v>
      </c>
      <c r="S351">
        <v>1506102</v>
      </c>
      <c r="T351" s="10">
        <v>0.65376315813999997</v>
      </c>
      <c r="U351" s="1" t="s">
        <v>68</v>
      </c>
    </row>
    <row r="352" spans="1:21" x14ac:dyDescent="0.35">
      <c r="A352" s="1" t="s">
        <v>18</v>
      </c>
      <c r="B352" s="1" t="s">
        <v>19</v>
      </c>
      <c r="C352" s="1" t="s">
        <v>626</v>
      </c>
      <c r="D352" s="1" t="s">
        <v>64</v>
      </c>
      <c r="E352" s="1" t="s">
        <v>64</v>
      </c>
      <c r="F352" s="1" t="s">
        <v>64</v>
      </c>
      <c r="G352" s="1" t="s">
        <v>64</v>
      </c>
      <c r="H352" s="1" t="s">
        <v>64</v>
      </c>
      <c r="I352" s="1" t="s">
        <v>64</v>
      </c>
      <c r="J352">
        <v>10600</v>
      </c>
      <c r="K352" s="9">
        <v>1.0765421466E-2</v>
      </c>
      <c r="L352" s="9">
        <v>0.41782225680000001</v>
      </c>
      <c r="M352">
        <v>411402</v>
      </c>
      <c r="N352">
        <v>333573</v>
      </c>
      <c r="O352" s="9">
        <v>0.33877867308999998</v>
      </c>
      <c r="P352" s="11">
        <f>Telengana_Reaults_2019[[#This Row],[BJP Votes]]-Telengana_Reaults_2019[[#This Row],[Max Votes Other than BJP]]</f>
        <v>-77829</v>
      </c>
      <c r="Q352" s="9">
        <f>Telengana_Reaults_2019[[#This Row],[BJP Vote Share]]-Telengana_Reaults_2019[[#This Row],[Max Votes Share other than BJP]]</f>
        <v>-7.9043583710000032E-2</v>
      </c>
      <c r="R352">
        <v>984634</v>
      </c>
      <c r="S352">
        <v>1506102</v>
      </c>
      <c r="T352" s="10">
        <v>0.65376315813999997</v>
      </c>
      <c r="U352" s="1" t="s">
        <v>68</v>
      </c>
    </row>
    <row r="353" spans="1:21" x14ac:dyDescent="0.35">
      <c r="A353" s="1" t="s">
        <v>18</v>
      </c>
      <c r="B353" s="1" t="s">
        <v>19</v>
      </c>
      <c r="C353" s="1" t="s">
        <v>640</v>
      </c>
      <c r="D353" s="1" t="s">
        <v>641</v>
      </c>
      <c r="E353" s="1" t="s">
        <v>21</v>
      </c>
      <c r="F353" s="1" t="s">
        <v>642</v>
      </c>
      <c r="G353" s="1" t="s">
        <v>67</v>
      </c>
      <c r="H353" s="1" t="s">
        <v>24</v>
      </c>
      <c r="I353" s="1" t="s">
        <v>25</v>
      </c>
      <c r="J353">
        <v>499672</v>
      </c>
      <c r="K353" s="9">
        <v>0.50479720603</v>
      </c>
      <c r="L353" s="9">
        <v>0.50479720603</v>
      </c>
      <c r="M353">
        <v>499672</v>
      </c>
      <c r="N353">
        <v>129021</v>
      </c>
      <c r="O353" s="9">
        <v>0.13034438656</v>
      </c>
      <c r="P353" s="11">
        <f>Telengana_Reaults_2019[[#This Row],[BJP Votes]]-Telengana_Reaults_2019[[#This Row],[Max Votes Other than BJP]]</f>
        <v>-370651</v>
      </c>
      <c r="Q353" s="9">
        <f>Telengana_Reaults_2019[[#This Row],[BJP Vote Share]]-Telengana_Reaults_2019[[#This Row],[Max Votes Share other than BJP]]</f>
        <v>-0.37445281946999998</v>
      </c>
      <c r="R353">
        <v>989847</v>
      </c>
      <c r="S353">
        <v>1588111</v>
      </c>
      <c r="T353" s="10">
        <v>0.62328577787999995</v>
      </c>
      <c r="U353" s="1" t="s">
        <v>68</v>
      </c>
    </row>
    <row r="354" spans="1:21" x14ac:dyDescent="0.35">
      <c r="A354" s="1" t="s">
        <v>18</v>
      </c>
      <c r="B354" s="1" t="s">
        <v>19</v>
      </c>
      <c r="C354" s="1" t="s">
        <v>640</v>
      </c>
      <c r="D354" s="1" t="s">
        <v>643</v>
      </c>
      <c r="E354" s="1" t="s">
        <v>21</v>
      </c>
      <c r="F354" s="1" t="s">
        <v>249</v>
      </c>
      <c r="G354" s="1" t="s">
        <v>67</v>
      </c>
      <c r="H354" s="1" t="s">
        <v>29</v>
      </c>
      <c r="I354" s="1" t="s">
        <v>30</v>
      </c>
      <c r="J354">
        <v>309924</v>
      </c>
      <c r="K354" s="9">
        <v>0.31310293409000001</v>
      </c>
      <c r="L354" s="9">
        <v>0.50479720603</v>
      </c>
      <c r="M354">
        <v>499672</v>
      </c>
      <c r="N354">
        <v>129021</v>
      </c>
      <c r="O354" s="9">
        <v>0.13034438656</v>
      </c>
      <c r="P354" s="11">
        <f>Telengana_Reaults_2019[[#This Row],[BJP Votes]]-Telengana_Reaults_2019[[#This Row],[Max Votes Other than BJP]]</f>
        <v>-370651</v>
      </c>
      <c r="Q354" s="9">
        <f>Telengana_Reaults_2019[[#This Row],[BJP Vote Share]]-Telengana_Reaults_2019[[#This Row],[Max Votes Share other than BJP]]</f>
        <v>-0.37445281946999998</v>
      </c>
      <c r="R354">
        <v>989847</v>
      </c>
      <c r="S354">
        <v>1588111</v>
      </c>
      <c r="T354" s="10">
        <v>0.62328577787999995</v>
      </c>
      <c r="U354" s="1" t="s">
        <v>68</v>
      </c>
    </row>
    <row r="355" spans="1:21" x14ac:dyDescent="0.35">
      <c r="A355" s="1" t="s">
        <v>18</v>
      </c>
      <c r="B355" s="1" t="s">
        <v>19</v>
      </c>
      <c r="C355" s="1" t="s">
        <v>640</v>
      </c>
      <c r="D355" s="1" t="s">
        <v>644</v>
      </c>
      <c r="E355" s="1" t="s">
        <v>21</v>
      </c>
      <c r="F355" s="1" t="s">
        <v>52</v>
      </c>
      <c r="G355" s="1" t="s">
        <v>67</v>
      </c>
      <c r="H355" s="1" t="s">
        <v>72</v>
      </c>
      <c r="I355" s="1" t="s">
        <v>73</v>
      </c>
      <c r="J355">
        <v>12474</v>
      </c>
      <c r="K355" s="9">
        <v>1.2601947574000001E-2</v>
      </c>
      <c r="L355" s="9">
        <v>0.50479720603</v>
      </c>
      <c r="M355">
        <v>499672</v>
      </c>
      <c r="N355">
        <v>129021</v>
      </c>
      <c r="O355" s="9">
        <v>0.13034438656</v>
      </c>
      <c r="P355" s="11">
        <f>Telengana_Reaults_2019[[#This Row],[BJP Votes]]-Telengana_Reaults_2019[[#This Row],[Max Votes Other than BJP]]</f>
        <v>-370651</v>
      </c>
      <c r="Q355" s="9">
        <f>Telengana_Reaults_2019[[#This Row],[BJP Vote Share]]-Telengana_Reaults_2019[[#This Row],[Max Votes Share other than BJP]]</f>
        <v>-0.37445281946999998</v>
      </c>
      <c r="R355">
        <v>989847</v>
      </c>
      <c r="S355">
        <v>1588111</v>
      </c>
      <c r="T355" s="10">
        <v>0.62328577787999995</v>
      </c>
      <c r="U355" s="1" t="s">
        <v>68</v>
      </c>
    </row>
    <row r="356" spans="1:21" x14ac:dyDescent="0.35">
      <c r="A356" s="1" t="s">
        <v>18</v>
      </c>
      <c r="B356" s="1" t="s">
        <v>19</v>
      </c>
      <c r="C356" s="1" t="s">
        <v>640</v>
      </c>
      <c r="D356" s="1" t="s">
        <v>645</v>
      </c>
      <c r="E356" s="1" t="s">
        <v>35</v>
      </c>
      <c r="F356" s="1" t="s">
        <v>117</v>
      </c>
      <c r="G356" s="1" t="s">
        <v>67</v>
      </c>
      <c r="H356" s="1" t="s">
        <v>32</v>
      </c>
      <c r="I356" s="1" t="s">
        <v>33</v>
      </c>
      <c r="J356">
        <v>129021</v>
      </c>
      <c r="K356" s="9">
        <v>0.13034438656</v>
      </c>
      <c r="L356" s="9">
        <v>0.50479720603</v>
      </c>
      <c r="M356">
        <v>499672</v>
      </c>
      <c r="N356">
        <v>129021</v>
      </c>
      <c r="O356" s="9">
        <v>0.13034438656</v>
      </c>
      <c r="P356" s="11">
        <f>Telengana_Reaults_2019[[#This Row],[BJP Votes]]-Telengana_Reaults_2019[[#This Row],[Max Votes Other than BJP]]</f>
        <v>-370651</v>
      </c>
      <c r="Q356" s="9">
        <f>Telengana_Reaults_2019[[#This Row],[BJP Vote Share]]-Telengana_Reaults_2019[[#This Row],[Max Votes Share other than BJP]]</f>
        <v>-0.37445281946999998</v>
      </c>
      <c r="R356">
        <v>989847</v>
      </c>
      <c r="S356">
        <v>1588111</v>
      </c>
      <c r="T356" s="10">
        <v>0.62328577787999995</v>
      </c>
      <c r="U356" s="1" t="s">
        <v>68</v>
      </c>
    </row>
    <row r="357" spans="1:21" x14ac:dyDescent="0.35">
      <c r="A357" s="1" t="s">
        <v>18</v>
      </c>
      <c r="B357" s="1" t="s">
        <v>19</v>
      </c>
      <c r="C357" s="1" t="s">
        <v>640</v>
      </c>
      <c r="D357" s="1" t="s">
        <v>646</v>
      </c>
      <c r="E357" s="1" t="s">
        <v>21</v>
      </c>
      <c r="F357" s="1" t="s">
        <v>135</v>
      </c>
      <c r="G357" s="1" t="s">
        <v>67</v>
      </c>
      <c r="H357" s="1" t="s">
        <v>84</v>
      </c>
      <c r="I357" s="1" t="s">
        <v>85</v>
      </c>
      <c r="J357">
        <v>2015</v>
      </c>
      <c r="K357" s="9">
        <v>2.0356681386E-3</v>
      </c>
      <c r="L357" s="9">
        <v>0.50479720603</v>
      </c>
      <c r="M357">
        <v>499672</v>
      </c>
      <c r="N357">
        <v>129021</v>
      </c>
      <c r="O357" s="9">
        <v>0.13034438656</v>
      </c>
      <c r="P357" s="11">
        <f>Telengana_Reaults_2019[[#This Row],[BJP Votes]]-Telengana_Reaults_2019[[#This Row],[Max Votes Other than BJP]]</f>
        <v>-370651</v>
      </c>
      <c r="Q357" s="9">
        <f>Telengana_Reaults_2019[[#This Row],[BJP Vote Share]]-Telengana_Reaults_2019[[#This Row],[Max Votes Share other than BJP]]</f>
        <v>-0.37445281946999998</v>
      </c>
      <c r="R357">
        <v>989847</v>
      </c>
      <c r="S357">
        <v>1588111</v>
      </c>
      <c r="T357" s="10">
        <v>0.62328577787999995</v>
      </c>
      <c r="U357" s="1" t="s">
        <v>68</v>
      </c>
    </row>
    <row r="358" spans="1:21" x14ac:dyDescent="0.35">
      <c r="A358" s="1" t="s">
        <v>18</v>
      </c>
      <c r="B358" s="1" t="s">
        <v>19</v>
      </c>
      <c r="C358" s="1" t="s">
        <v>640</v>
      </c>
      <c r="D358" s="1" t="s">
        <v>647</v>
      </c>
      <c r="E358" s="1" t="s">
        <v>21</v>
      </c>
      <c r="F358" s="1" t="s">
        <v>80</v>
      </c>
      <c r="G358" s="1" t="s">
        <v>67</v>
      </c>
      <c r="H358" s="1" t="s">
        <v>150</v>
      </c>
      <c r="I358" s="1" t="s">
        <v>151</v>
      </c>
      <c r="J358">
        <v>1750</v>
      </c>
      <c r="K358" s="9">
        <v>1.7679499963E-3</v>
      </c>
      <c r="L358" s="9">
        <v>0.50479720603</v>
      </c>
      <c r="M358">
        <v>499672</v>
      </c>
      <c r="N358">
        <v>129021</v>
      </c>
      <c r="O358" s="9">
        <v>0.13034438656</v>
      </c>
      <c r="P358" s="11">
        <f>Telengana_Reaults_2019[[#This Row],[BJP Votes]]-Telengana_Reaults_2019[[#This Row],[Max Votes Other than BJP]]</f>
        <v>-370651</v>
      </c>
      <c r="Q358" s="9">
        <f>Telengana_Reaults_2019[[#This Row],[BJP Vote Share]]-Telengana_Reaults_2019[[#This Row],[Max Votes Share other than BJP]]</f>
        <v>-0.37445281946999998</v>
      </c>
      <c r="R358">
        <v>989847</v>
      </c>
      <c r="S358">
        <v>1588111</v>
      </c>
      <c r="T358" s="10">
        <v>0.62328577787999995</v>
      </c>
      <c r="U358" s="1" t="s">
        <v>68</v>
      </c>
    </row>
    <row r="359" spans="1:21" x14ac:dyDescent="0.35">
      <c r="A359" s="1" t="s">
        <v>18</v>
      </c>
      <c r="B359" s="1" t="s">
        <v>19</v>
      </c>
      <c r="C359" s="1" t="s">
        <v>640</v>
      </c>
      <c r="D359" s="1" t="s">
        <v>648</v>
      </c>
      <c r="E359" s="1" t="s">
        <v>21</v>
      </c>
      <c r="F359" s="1" t="s">
        <v>265</v>
      </c>
      <c r="G359" s="1" t="s">
        <v>67</v>
      </c>
      <c r="H359" s="1" t="s">
        <v>53</v>
      </c>
      <c r="I359" s="1" t="s">
        <v>410</v>
      </c>
      <c r="J359">
        <v>1852</v>
      </c>
      <c r="K359" s="9">
        <v>1.8709962246999999E-3</v>
      </c>
      <c r="L359" s="9">
        <v>0.50479720603</v>
      </c>
      <c r="M359">
        <v>499672</v>
      </c>
      <c r="N359">
        <v>129021</v>
      </c>
      <c r="O359" s="9">
        <v>0.13034438656</v>
      </c>
      <c r="P359" s="11">
        <f>Telengana_Reaults_2019[[#This Row],[BJP Votes]]-Telengana_Reaults_2019[[#This Row],[Max Votes Other than BJP]]</f>
        <v>-370651</v>
      </c>
      <c r="Q359" s="9">
        <f>Telengana_Reaults_2019[[#This Row],[BJP Vote Share]]-Telengana_Reaults_2019[[#This Row],[Max Votes Share other than BJP]]</f>
        <v>-0.37445281946999998</v>
      </c>
      <c r="R359">
        <v>989847</v>
      </c>
      <c r="S359">
        <v>1588111</v>
      </c>
      <c r="T359" s="10">
        <v>0.62328577787999995</v>
      </c>
      <c r="U359" s="1" t="s">
        <v>68</v>
      </c>
    </row>
    <row r="360" spans="1:21" x14ac:dyDescent="0.35">
      <c r="A360" s="1" t="s">
        <v>18</v>
      </c>
      <c r="B360" s="1" t="s">
        <v>19</v>
      </c>
      <c r="C360" s="1" t="s">
        <v>640</v>
      </c>
      <c r="D360" s="1" t="s">
        <v>649</v>
      </c>
      <c r="E360" s="1" t="s">
        <v>35</v>
      </c>
      <c r="F360" s="1" t="s">
        <v>120</v>
      </c>
      <c r="G360" s="1" t="s">
        <v>67</v>
      </c>
      <c r="H360" s="1" t="s">
        <v>53</v>
      </c>
      <c r="I360" s="1" t="s">
        <v>270</v>
      </c>
      <c r="J360">
        <v>2276</v>
      </c>
      <c r="K360" s="9">
        <v>2.2993452522999999E-3</v>
      </c>
      <c r="L360" s="9">
        <v>0.50479720603</v>
      </c>
      <c r="M360">
        <v>499672</v>
      </c>
      <c r="N360">
        <v>129021</v>
      </c>
      <c r="O360" s="9">
        <v>0.13034438656</v>
      </c>
      <c r="P360" s="11">
        <f>Telengana_Reaults_2019[[#This Row],[BJP Votes]]-Telengana_Reaults_2019[[#This Row],[Max Votes Other than BJP]]</f>
        <v>-370651</v>
      </c>
      <c r="Q360" s="9">
        <f>Telengana_Reaults_2019[[#This Row],[BJP Vote Share]]-Telengana_Reaults_2019[[#This Row],[Max Votes Share other than BJP]]</f>
        <v>-0.37445281946999998</v>
      </c>
      <c r="R360">
        <v>989847</v>
      </c>
      <c r="S360">
        <v>1588111</v>
      </c>
      <c r="T360" s="10">
        <v>0.62328577787999995</v>
      </c>
      <c r="U360" s="1" t="s">
        <v>68</v>
      </c>
    </row>
    <row r="361" spans="1:21" x14ac:dyDescent="0.35">
      <c r="A361" s="1" t="s">
        <v>18</v>
      </c>
      <c r="B361" s="1" t="s">
        <v>19</v>
      </c>
      <c r="C361" s="1" t="s">
        <v>640</v>
      </c>
      <c r="D361" s="1" t="s">
        <v>650</v>
      </c>
      <c r="E361" s="1" t="s">
        <v>21</v>
      </c>
      <c r="F361" s="1" t="s">
        <v>95</v>
      </c>
      <c r="G361" s="1" t="s">
        <v>67</v>
      </c>
      <c r="H361" s="1" t="s">
        <v>53</v>
      </c>
      <c r="I361" s="1" t="s">
        <v>232</v>
      </c>
      <c r="J361">
        <v>3466</v>
      </c>
      <c r="K361" s="9">
        <v>3.5015512498E-3</v>
      </c>
      <c r="L361" s="9">
        <v>0.50479720603</v>
      </c>
      <c r="M361">
        <v>499672</v>
      </c>
      <c r="N361">
        <v>129021</v>
      </c>
      <c r="O361" s="9">
        <v>0.13034438656</v>
      </c>
      <c r="P361" s="11">
        <f>Telengana_Reaults_2019[[#This Row],[BJP Votes]]-Telengana_Reaults_2019[[#This Row],[Max Votes Other than BJP]]</f>
        <v>-370651</v>
      </c>
      <c r="Q361" s="9">
        <f>Telengana_Reaults_2019[[#This Row],[BJP Vote Share]]-Telengana_Reaults_2019[[#This Row],[Max Votes Share other than BJP]]</f>
        <v>-0.37445281946999998</v>
      </c>
      <c r="R361">
        <v>989847</v>
      </c>
      <c r="S361">
        <v>1588111</v>
      </c>
      <c r="T361" s="10">
        <v>0.62328577787999995</v>
      </c>
      <c r="U361" s="1" t="s">
        <v>68</v>
      </c>
    </row>
    <row r="362" spans="1:21" x14ac:dyDescent="0.35">
      <c r="A362" s="1" t="s">
        <v>18</v>
      </c>
      <c r="B362" s="1" t="s">
        <v>19</v>
      </c>
      <c r="C362" s="1" t="s">
        <v>640</v>
      </c>
      <c r="D362" s="1" t="s">
        <v>651</v>
      </c>
      <c r="E362" s="1" t="s">
        <v>35</v>
      </c>
      <c r="F362" s="1" t="s">
        <v>80</v>
      </c>
      <c r="G362" s="1" t="s">
        <v>67</v>
      </c>
      <c r="H362" s="1" t="s">
        <v>53</v>
      </c>
      <c r="I362" s="1" t="s">
        <v>470</v>
      </c>
      <c r="J362">
        <v>3960</v>
      </c>
      <c r="K362" s="9">
        <v>4.0006182773999997E-3</v>
      </c>
      <c r="L362" s="9">
        <v>0.50479720603</v>
      </c>
      <c r="M362">
        <v>499672</v>
      </c>
      <c r="N362">
        <v>129021</v>
      </c>
      <c r="O362" s="9">
        <v>0.13034438656</v>
      </c>
      <c r="P362" s="11">
        <f>Telengana_Reaults_2019[[#This Row],[BJP Votes]]-Telengana_Reaults_2019[[#This Row],[Max Votes Other than BJP]]</f>
        <v>-370651</v>
      </c>
      <c r="Q362" s="9">
        <f>Telengana_Reaults_2019[[#This Row],[BJP Vote Share]]-Telengana_Reaults_2019[[#This Row],[Max Votes Share other than BJP]]</f>
        <v>-0.37445281946999998</v>
      </c>
      <c r="R362">
        <v>989847</v>
      </c>
      <c r="S362">
        <v>1588111</v>
      </c>
      <c r="T362" s="10">
        <v>0.62328577787999995</v>
      </c>
      <c r="U362" s="1" t="s">
        <v>68</v>
      </c>
    </row>
    <row r="363" spans="1:21" x14ac:dyDescent="0.35">
      <c r="A363" s="1" t="s">
        <v>18</v>
      </c>
      <c r="B363" s="1" t="s">
        <v>19</v>
      </c>
      <c r="C363" s="1" t="s">
        <v>640</v>
      </c>
      <c r="D363" s="1" t="s">
        <v>652</v>
      </c>
      <c r="E363" s="1" t="s">
        <v>21</v>
      </c>
      <c r="F363" s="1" t="s">
        <v>120</v>
      </c>
      <c r="G363" s="1" t="s">
        <v>67</v>
      </c>
      <c r="H363" s="1" t="s">
        <v>53</v>
      </c>
      <c r="I363" s="1" t="s">
        <v>284</v>
      </c>
      <c r="J363">
        <v>9912</v>
      </c>
      <c r="K363" s="9">
        <v>1.0013668779E-2</v>
      </c>
      <c r="L363" s="9">
        <v>0.50479720603</v>
      </c>
      <c r="M363">
        <v>499672</v>
      </c>
      <c r="N363">
        <v>129021</v>
      </c>
      <c r="O363" s="9">
        <v>0.13034438656</v>
      </c>
      <c r="P363" s="11">
        <f>Telengana_Reaults_2019[[#This Row],[BJP Votes]]-Telengana_Reaults_2019[[#This Row],[Max Votes Other than BJP]]</f>
        <v>-370651</v>
      </c>
      <c r="Q363" s="9">
        <f>Telengana_Reaults_2019[[#This Row],[BJP Vote Share]]-Telengana_Reaults_2019[[#This Row],[Max Votes Share other than BJP]]</f>
        <v>-0.37445281946999998</v>
      </c>
      <c r="R363">
        <v>989847</v>
      </c>
      <c r="S363">
        <v>1588111</v>
      </c>
      <c r="T363" s="10">
        <v>0.62328577787999995</v>
      </c>
      <c r="U363" s="1" t="s">
        <v>68</v>
      </c>
    </row>
    <row r="364" spans="1:21" x14ac:dyDescent="0.35">
      <c r="A364" s="1" t="s">
        <v>18</v>
      </c>
      <c r="B364" s="1" t="s">
        <v>19</v>
      </c>
      <c r="C364" s="1" t="s">
        <v>640</v>
      </c>
      <c r="D364" s="1" t="s">
        <v>64</v>
      </c>
      <c r="E364" s="1" t="s">
        <v>64</v>
      </c>
      <c r="F364" s="1" t="s">
        <v>64</v>
      </c>
      <c r="G364" s="1" t="s">
        <v>64</v>
      </c>
      <c r="H364" s="1" t="s">
        <v>64</v>
      </c>
      <c r="I364" s="1" t="s">
        <v>64</v>
      </c>
      <c r="J364">
        <v>13525</v>
      </c>
      <c r="K364" s="9">
        <v>1.3663727828999999E-2</v>
      </c>
      <c r="L364" s="9">
        <v>0.50479720603</v>
      </c>
      <c r="M364">
        <v>499672</v>
      </c>
      <c r="N364">
        <v>129021</v>
      </c>
      <c r="O364" s="9">
        <v>0.13034438656</v>
      </c>
      <c r="P364" s="11">
        <f>Telengana_Reaults_2019[[#This Row],[BJP Votes]]-Telengana_Reaults_2019[[#This Row],[Max Votes Other than BJP]]</f>
        <v>-370651</v>
      </c>
      <c r="Q364" s="9">
        <f>Telengana_Reaults_2019[[#This Row],[BJP Vote Share]]-Telengana_Reaults_2019[[#This Row],[Max Votes Share other than BJP]]</f>
        <v>-0.37445281946999998</v>
      </c>
      <c r="R364">
        <v>989847</v>
      </c>
      <c r="S364">
        <v>1588111</v>
      </c>
      <c r="T364" s="10">
        <v>0.62328577787999995</v>
      </c>
      <c r="U364" s="1" t="s">
        <v>68</v>
      </c>
    </row>
    <row r="365" spans="1:21" x14ac:dyDescent="0.35">
      <c r="A365" s="1" t="s">
        <v>18</v>
      </c>
      <c r="B365" s="1" t="s">
        <v>19</v>
      </c>
      <c r="C365" s="1" t="s">
        <v>653</v>
      </c>
      <c r="D365" s="1" t="s">
        <v>654</v>
      </c>
      <c r="E365" s="1" t="s">
        <v>21</v>
      </c>
      <c r="F365" s="1" t="s">
        <v>362</v>
      </c>
      <c r="G365" s="1" t="s">
        <v>112</v>
      </c>
      <c r="H365" s="1" t="s">
        <v>29</v>
      </c>
      <c r="I365" s="1" t="s">
        <v>30</v>
      </c>
      <c r="J365">
        <v>526028</v>
      </c>
      <c r="K365" s="9">
        <v>0.44741571637999999</v>
      </c>
      <c r="L365" s="9">
        <v>0.44741571637999999</v>
      </c>
      <c r="M365">
        <v>526028</v>
      </c>
      <c r="N365">
        <v>52709</v>
      </c>
      <c r="O365" s="9">
        <v>4.4831900574000001E-2</v>
      </c>
      <c r="P365" s="11">
        <f>Telengana_Reaults_2019[[#This Row],[BJP Votes]]-Telengana_Reaults_2019[[#This Row],[Max Votes Other than BJP]]</f>
        <v>-473319</v>
      </c>
      <c r="Q365" s="9">
        <f>Telengana_Reaults_2019[[#This Row],[BJP Vote Share]]-Telengana_Reaults_2019[[#This Row],[Max Votes Share other than BJP]]</f>
        <v>-0.402583815806</v>
      </c>
      <c r="R365">
        <v>1175703</v>
      </c>
      <c r="S365">
        <v>1585980</v>
      </c>
      <c r="T365" s="10">
        <v>0.74131010479000004</v>
      </c>
      <c r="U365" s="1" t="s">
        <v>68</v>
      </c>
    </row>
    <row r="366" spans="1:21" x14ac:dyDescent="0.35">
      <c r="A366" s="1" t="s">
        <v>18</v>
      </c>
      <c r="B366" s="1" t="s">
        <v>19</v>
      </c>
      <c r="C366" s="1" t="s">
        <v>653</v>
      </c>
      <c r="D366" s="1" t="s">
        <v>655</v>
      </c>
      <c r="E366" s="1" t="s">
        <v>21</v>
      </c>
      <c r="F366" s="1" t="s">
        <v>145</v>
      </c>
      <c r="G366" s="1" t="s">
        <v>112</v>
      </c>
      <c r="H366" s="1" t="s">
        <v>32</v>
      </c>
      <c r="I366" s="1" t="s">
        <v>33</v>
      </c>
      <c r="J366">
        <v>52709</v>
      </c>
      <c r="K366" s="9">
        <v>4.4831900574000001E-2</v>
      </c>
      <c r="L366" s="9">
        <v>0.44741571637999999</v>
      </c>
      <c r="M366">
        <v>526028</v>
      </c>
      <c r="N366">
        <v>52709</v>
      </c>
      <c r="O366" s="9">
        <v>4.4831900574000001E-2</v>
      </c>
      <c r="P366" s="11">
        <f>Telengana_Reaults_2019[[#This Row],[BJP Votes]]-Telengana_Reaults_2019[[#This Row],[Max Votes Other than BJP]]</f>
        <v>-473319</v>
      </c>
      <c r="Q366" s="9">
        <f>Telengana_Reaults_2019[[#This Row],[BJP Vote Share]]-Telengana_Reaults_2019[[#This Row],[Max Votes Share other than BJP]]</f>
        <v>-0.402583815806</v>
      </c>
      <c r="R366">
        <v>1175703</v>
      </c>
      <c r="S366">
        <v>1585980</v>
      </c>
      <c r="T366" s="10">
        <v>0.74131010479000004</v>
      </c>
      <c r="U366" s="1" t="s">
        <v>68</v>
      </c>
    </row>
    <row r="367" spans="1:21" x14ac:dyDescent="0.35">
      <c r="A367" s="1" t="s">
        <v>18</v>
      </c>
      <c r="B367" s="1" t="s">
        <v>19</v>
      </c>
      <c r="C367" s="1" t="s">
        <v>653</v>
      </c>
      <c r="D367" s="1" t="s">
        <v>656</v>
      </c>
      <c r="E367" s="1" t="s">
        <v>35</v>
      </c>
      <c r="F367" s="1" t="s">
        <v>120</v>
      </c>
      <c r="G367" s="1" t="s">
        <v>112</v>
      </c>
      <c r="H367" s="1" t="s">
        <v>657</v>
      </c>
      <c r="I367" s="1" t="s">
        <v>658</v>
      </c>
      <c r="J367">
        <v>25089</v>
      </c>
      <c r="K367" s="9">
        <v>2.1339573003999999E-2</v>
      </c>
      <c r="L367" s="9">
        <v>0.44741571637999999</v>
      </c>
      <c r="M367">
        <v>526028</v>
      </c>
      <c r="N367">
        <v>52709</v>
      </c>
      <c r="O367" s="9">
        <v>4.4831900574000001E-2</v>
      </c>
      <c r="P367" s="11">
        <f>Telengana_Reaults_2019[[#This Row],[BJP Votes]]-Telengana_Reaults_2019[[#This Row],[Max Votes Other than BJP]]</f>
        <v>-473319</v>
      </c>
      <c r="Q367" s="9">
        <f>Telengana_Reaults_2019[[#This Row],[BJP Vote Share]]-Telengana_Reaults_2019[[#This Row],[Max Votes Share other than BJP]]</f>
        <v>-0.402583815806</v>
      </c>
      <c r="R367">
        <v>1175703</v>
      </c>
      <c r="S367">
        <v>1585980</v>
      </c>
      <c r="T367" s="10">
        <v>0.74131010479000004</v>
      </c>
      <c r="U367" s="1" t="s">
        <v>68</v>
      </c>
    </row>
    <row r="368" spans="1:21" x14ac:dyDescent="0.35">
      <c r="A368" s="1" t="s">
        <v>18</v>
      </c>
      <c r="B368" s="1" t="s">
        <v>19</v>
      </c>
      <c r="C368" s="1" t="s">
        <v>653</v>
      </c>
      <c r="D368" s="1" t="s">
        <v>659</v>
      </c>
      <c r="E368" s="1" t="s">
        <v>21</v>
      </c>
      <c r="F368" s="1" t="s">
        <v>87</v>
      </c>
      <c r="G368" s="1" t="s">
        <v>112</v>
      </c>
      <c r="H368" s="1" t="s">
        <v>24</v>
      </c>
      <c r="I368" s="1" t="s">
        <v>25</v>
      </c>
      <c r="J368">
        <v>500346</v>
      </c>
      <c r="K368" s="9">
        <v>0.42557176429999999</v>
      </c>
      <c r="L368" s="9">
        <v>0.44741571637999999</v>
      </c>
      <c r="M368">
        <v>526028</v>
      </c>
      <c r="N368">
        <v>52709</v>
      </c>
      <c r="O368" s="9">
        <v>4.4831900574000001E-2</v>
      </c>
      <c r="P368" s="11">
        <f>Telengana_Reaults_2019[[#This Row],[BJP Votes]]-Telengana_Reaults_2019[[#This Row],[Max Votes Other than BJP]]</f>
        <v>-473319</v>
      </c>
      <c r="Q368" s="9">
        <f>Telengana_Reaults_2019[[#This Row],[BJP Vote Share]]-Telengana_Reaults_2019[[#This Row],[Max Votes Share other than BJP]]</f>
        <v>-0.402583815806</v>
      </c>
      <c r="R368">
        <v>1175703</v>
      </c>
      <c r="S368">
        <v>1585980</v>
      </c>
      <c r="T368" s="10">
        <v>0.74131010479000004</v>
      </c>
      <c r="U368" s="1" t="s">
        <v>68</v>
      </c>
    </row>
    <row r="369" spans="1:21" x14ac:dyDescent="0.35">
      <c r="A369" s="1" t="s">
        <v>18</v>
      </c>
      <c r="B369" s="1" t="s">
        <v>19</v>
      </c>
      <c r="C369" s="1" t="s">
        <v>653</v>
      </c>
      <c r="D369" s="1" t="s">
        <v>660</v>
      </c>
      <c r="E369" s="1" t="s">
        <v>21</v>
      </c>
      <c r="F369" s="1" t="s">
        <v>71</v>
      </c>
      <c r="G369" s="1" t="s">
        <v>67</v>
      </c>
      <c r="H369" s="1" t="s">
        <v>77</v>
      </c>
      <c r="I369" s="1" t="s">
        <v>78</v>
      </c>
      <c r="J369">
        <v>3225</v>
      </c>
      <c r="K369" s="9">
        <v>2.7430396962000001E-3</v>
      </c>
      <c r="L369" s="9">
        <v>0.44741571637999999</v>
      </c>
      <c r="M369">
        <v>526028</v>
      </c>
      <c r="N369">
        <v>52709</v>
      </c>
      <c r="O369" s="9">
        <v>4.4831900574000001E-2</v>
      </c>
      <c r="P369" s="11">
        <f>Telengana_Reaults_2019[[#This Row],[BJP Votes]]-Telengana_Reaults_2019[[#This Row],[Max Votes Other than BJP]]</f>
        <v>-473319</v>
      </c>
      <c r="Q369" s="9">
        <f>Telengana_Reaults_2019[[#This Row],[BJP Vote Share]]-Telengana_Reaults_2019[[#This Row],[Max Votes Share other than BJP]]</f>
        <v>-0.402583815806</v>
      </c>
      <c r="R369">
        <v>1175703</v>
      </c>
      <c r="S369">
        <v>1585980</v>
      </c>
      <c r="T369" s="10">
        <v>0.74131010479000004</v>
      </c>
      <c r="U369" s="1" t="s">
        <v>68</v>
      </c>
    </row>
    <row r="370" spans="1:21" x14ac:dyDescent="0.35">
      <c r="A370" s="1" t="s">
        <v>18</v>
      </c>
      <c r="B370" s="1" t="s">
        <v>19</v>
      </c>
      <c r="C370" s="1" t="s">
        <v>653</v>
      </c>
      <c r="D370" s="1" t="s">
        <v>661</v>
      </c>
      <c r="E370" s="1" t="s">
        <v>21</v>
      </c>
      <c r="F370" s="1" t="s">
        <v>205</v>
      </c>
      <c r="G370" s="1" t="s">
        <v>23</v>
      </c>
      <c r="H370" s="1" t="s">
        <v>150</v>
      </c>
      <c r="I370" s="1" t="s">
        <v>151</v>
      </c>
      <c r="J370">
        <v>1679</v>
      </c>
      <c r="K370" s="9">
        <v>1.4280817519E-3</v>
      </c>
      <c r="L370" s="9">
        <v>0.44741571637999999</v>
      </c>
      <c r="M370">
        <v>526028</v>
      </c>
      <c r="N370">
        <v>52709</v>
      </c>
      <c r="O370" s="9">
        <v>4.4831900574000001E-2</v>
      </c>
      <c r="P370" s="11">
        <f>Telengana_Reaults_2019[[#This Row],[BJP Votes]]-Telengana_Reaults_2019[[#This Row],[Max Votes Other than BJP]]</f>
        <v>-473319</v>
      </c>
      <c r="Q370" s="9">
        <f>Telengana_Reaults_2019[[#This Row],[BJP Vote Share]]-Telengana_Reaults_2019[[#This Row],[Max Votes Share other than BJP]]</f>
        <v>-0.402583815806</v>
      </c>
      <c r="R370">
        <v>1175703</v>
      </c>
      <c r="S370">
        <v>1585980</v>
      </c>
      <c r="T370" s="10">
        <v>0.74131010479000004</v>
      </c>
      <c r="U370" s="1" t="s">
        <v>68</v>
      </c>
    </row>
    <row r="371" spans="1:21" x14ac:dyDescent="0.35">
      <c r="A371" s="1" t="s">
        <v>18</v>
      </c>
      <c r="B371" s="1" t="s">
        <v>19</v>
      </c>
      <c r="C371" s="1" t="s">
        <v>653</v>
      </c>
      <c r="D371" s="1" t="s">
        <v>662</v>
      </c>
      <c r="E371" s="1" t="s">
        <v>21</v>
      </c>
      <c r="F371" s="1" t="s">
        <v>117</v>
      </c>
      <c r="G371" s="1" t="s">
        <v>67</v>
      </c>
      <c r="H371" s="1" t="s">
        <v>663</v>
      </c>
      <c r="I371" s="1" t="s">
        <v>339</v>
      </c>
      <c r="J371">
        <v>1048</v>
      </c>
      <c r="K371" s="9">
        <v>8.9138158191000001E-4</v>
      </c>
      <c r="L371" s="9">
        <v>0.44741571637999999</v>
      </c>
      <c r="M371">
        <v>526028</v>
      </c>
      <c r="N371">
        <v>52709</v>
      </c>
      <c r="O371" s="9">
        <v>4.4831900574000001E-2</v>
      </c>
      <c r="P371" s="11">
        <f>Telengana_Reaults_2019[[#This Row],[BJP Votes]]-Telengana_Reaults_2019[[#This Row],[Max Votes Other than BJP]]</f>
        <v>-473319</v>
      </c>
      <c r="Q371" s="9">
        <f>Telengana_Reaults_2019[[#This Row],[BJP Vote Share]]-Telengana_Reaults_2019[[#This Row],[Max Votes Share other than BJP]]</f>
        <v>-0.402583815806</v>
      </c>
      <c r="R371">
        <v>1175703</v>
      </c>
      <c r="S371">
        <v>1585980</v>
      </c>
      <c r="T371" s="10">
        <v>0.74131010479000004</v>
      </c>
      <c r="U371" s="1" t="s">
        <v>68</v>
      </c>
    </row>
    <row r="372" spans="1:21" x14ac:dyDescent="0.35">
      <c r="A372" s="1" t="s">
        <v>18</v>
      </c>
      <c r="B372" s="1" t="s">
        <v>19</v>
      </c>
      <c r="C372" s="1" t="s">
        <v>653</v>
      </c>
      <c r="D372" s="1" t="s">
        <v>664</v>
      </c>
      <c r="E372" s="1" t="s">
        <v>21</v>
      </c>
      <c r="F372" s="1" t="s">
        <v>71</v>
      </c>
      <c r="G372" s="1" t="s">
        <v>112</v>
      </c>
      <c r="H372" s="1" t="s">
        <v>41</v>
      </c>
      <c r="I372" s="1" t="s">
        <v>42</v>
      </c>
      <c r="J372">
        <v>11288</v>
      </c>
      <c r="K372" s="9">
        <v>9.6010642143000008E-3</v>
      </c>
      <c r="L372" s="9">
        <v>0.44741571637999999</v>
      </c>
      <c r="M372">
        <v>526028</v>
      </c>
      <c r="N372">
        <v>52709</v>
      </c>
      <c r="O372" s="9">
        <v>4.4831900574000001E-2</v>
      </c>
      <c r="P372" s="11">
        <f>Telengana_Reaults_2019[[#This Row],[BJP Votes]]-Telengana_Reaults_2019[[#This Row],[Max Votes Other than BJP]]</f>
        <v>-473319</v>
      </c>
      <c r="Q372" s="9">
        <f>Telengana_Reaults_2019[[#This Row],[BJP Vote Share]]-Telengana_Reaults_2019[[#This Row],[Max Votes Share other than BJP]]</f>
        <v>-0.402583815806</v>
      </c>
      <c r="R372">
        <v>1175703</v>
      </c>
      <c r="S372">
        <v>1585980</v>
      </c>
      <c r="T372" s="10">
        <v>0.74131010479000004</v>
      </c>
      <c r="U372" s="1" t="s">
        <v>68</v>
      </c>
    </row>
    <row r="373" spans="1:21" x14ac:dyDescent="0.35">
      <c r="A373" s="1" t="s">
        <v>18</v>
      </c>
      <c r="B373" s="1" t="s">
        <v>19</v>
      </c>
      <c r="C373" s="1" t="s">
        <v>653</v>
      </c>
      <c r="D373" s="1" t="s">
        <v>665</v>
      </c>
      <c r="E373" s="1" t="s">
        <v>21</v>
      </c>
      <c r="F373" s="1" t="s">
        <v>22</v>
      </c>
      <c r="G373" s="1" t="s">
        <v>23</v>
      </c>
      <c r="H373" s="1" t="s">
        <v>666</v>
      </c>
      <c r="I373" s="1" t="s">
        <v>440</v>
      </c>
      <c r="J373">
        <v>1008</v>
      </c>
      <c r="K373" s="9">
        <v>8.5735938412999997E-4</v>
      </c>
      <c r="L373" s="9">
        <v>0.44741571637999999</v>
      </c>
      <c r="M373">
        <v>526028</v>
      </c>
      <c r="N373">
        <v>52709</v>
      </c>
      <c r="O373" s="9">
        <v>4.4831900574000001E-2</v>
      </c>
      <c r="P373" s="11">
        <f>Telengana_Reaults_2019[[#This Row],[BJP Votes]]-Telengana_Reaults_2019[[#This Row],[Max Votes Other than BJP]]</f>
        <v>-473319</v>
      </c>
      <c r="Q373" s="9">
        <f>Telengana_Reaults_2019[[#This Row],[BJP Vote Share]]-Telengana_Reaults_2019[[#This Row],[Max Votes Share other than BJP]]</f>
        <v>-0.402583815806</v>
      </c>
      <c r="R373">
        <v>1175703</v>
      </c>
      <c r="S373">
        <v>1585980</v>
      </c>
      <c r="T373" s="10">
        <v>0.74131010479000004</v>
      </c>
      <c r="U373" s="1" t="s">
        <v>68</v>
      </c>
    </row>
    <row r="374" spans="1:21" x14ac:dyDescent="0.35">
      <c r="A374" s="1" t="s">
        <v>18</v>
      </c>
      <c r="B374" s="1" t="s">
        <v>19</v>
      </c>
      <c r="C374" s="1" t="s">
        <v>653</v>
      </c>
      <c r="D374" s="1" t="s">
        <v>667</v>
      </c>
      <c r="E374" s="1" t="s">
        <v>21</v>
      </c>
      <c r="F374" s="1" t="s">
        <v>205</v>
      </c>
      <c r="G374" s="1" t="s">
        <v>112</v>
      </c>
      <c r="H374" s="1" t="s">
        <v>536</v>
      </c>
      <c r="I374" s="1" t="s">
        <v>483</v>
      </c>
      <c r="J374">
        <v>1053</v>
      </c>
      <c r="K374" s="9">
        <v>8.9563435663999995E-4</v>
      </c>
      <c r="L374" s="9">
        <v>0.44741571637999999</v>
      </c>
      <c r="M374">
        <v>526028</v>
      </c>
      <c r="N374">
        <v>52709</v>
      </c>
      <c r="O374" s="9">
        <v>4.4831900574000001E-2</v>
      </c>
      <c r="P374" s="11">
        <f>Telengana_Reaults_2019[[#This Row],[BJP Votes]]-Telengana_Reaults_2019[[#This Row],[Max Votes Other than BJP]]</f>
        <v>-473319</v>
      </c>
      <c r="Q374" s="9">
        <f>Telengana_Reaults_2019[[#This Row],[BJP Vote Share]]-Telengana_Reaults_2019[[#This Row],[Max Votes Share other than BJP]]</f>
        <v>-0.402583815806</v>
      </c>
      <c r="R374">
        <v>1175703</v>
      </c>
      <c r="S374">
        <v>1585980</v>
      </c>
      <c r="T374" s="10">
        <v>0.74131010479000004</v>
      </c>
      <c r="U374" s="1" t="s">
        <v>68</v>
      </c>
    </row>
    <row r="375" spans="1:21" x14ac:dyDescent="0.35">
      <c r="A375" s="1" t="s">
        <v>18</v>
      </c>
      <c r="B375" s="1" t="s">
        <v>19</v>
      </c>
      <c r="C375" s="1" t="s">
        <v>653</v>
      </c>
      <c r="D375" s="1" t="s">
        <v>668</v>
      </c>
      <c r="E375" s="1" t="s">
        <v>21</v>
      </c>
      <c r="F375" s="1" t="s">
        <v>75</v>
      </c>
      <c r="G375" s="1" t="s">
        <v>112</v>
      </c>
      <c r="H375" s="1" t="s">
        <v>512</v>
      </c>
      <c r="I375" s="1" t="s">
        <v>291</v>
      </c>
      <c r="J375">
        <v>1124</v>
      </c>
      <c r="K375" s="9">
        <v>9.5602375770000004E-4</v>
      </c>
      <c r="L375" s="9">
        <v>0.44741571637999999</v>
      </c>
      <c r="M375">
        <v>526028</v>
      </c>
      <c r="N375">
        <v>52709</v>
      </c>
      <c r="O375" s="9">
        <v>4.4831900574000001E-2</v>
      </c>
      <c r="P375" s="11">
        <f>Telengana_Reaults_2019[[#This Row],[BJP Votes]]-Telengana_Reaults_2019[[#This Row],[Max Votes Other than BJP]]</f>
        <v>-473319</v>
      </c>
      <c r="Q375" s="9">
        <f>Telengana_Reaults_2019[[#This Row],[BJP Vote Share]]-Telengana_Reaults_2019[[#This Row],[Max Votes Share other than BJP]]</f>
        <v>-0.402583815806</v>
      </c>
      <c r="R375">
        <v>1175703</v>
      </c>
      <c r="S375">
        <v>1585980</v>
      </c>
      <c r="T375" s="10">
        <v>0.74131010479000004</v>
      </c>
      <c r="U375" s="1" t="s">
        <v>68</v>
      </c>
    </row>
    <row r="376" spans="1:21" x14ac:dyDescent="0.35">
      <c r="A376" s="1" t="s">
        <v>18</v>
      </c>
      <c r="B376" s="1" t="s">
        <v>19</v>
      </c>
      <c r="C376" s="1" t="s">
        <v>653</v>
      </c>
      <c r="D376" s="1" t="s">
        <v>669</v>
      </c>
      <c r="E376" s="1" t="s">
        <v>21</v>
      </c>
      <c r="F376" s="1" t="s">
        <v>62</v>
      </c>
      <c r="G376" s="1" t="s">
        <v>23</v>
      </c>
      <c r="H376" s="1" t="s">
        <v>53</v>
      </c>
      <c r="I376" s="1" t="s">
        <v>427</v>
      </c>
      <c r="J376">
        <v>1897</v>
      </c>
      <c r="K376" s="9">
        <v>1.6135027299E-3</v>
      </c>
      <c r="L376" s="9">
        <v>0.44741571637999999</v>
      </c>
      <c r="M376">
        <v>526028</v>
      </c>
      <c r="N376">
        <v>52709</v>
      </c>
      <c r="O376" s="9">
        <v>4.4831900574000001E-2</v>
      </c>
      <c r="P376" s="11">
        <f>Telengana_Reaults_2019[[#This Row],[BJP Votes]]-Telengana_Reaults_2019[[#This Row],[Max Votes Other than BJP]]</f>
        <v>-473319</v>
      </c>
      <c r="Q376" s="9">
        <f>Telengana_Reaults_2019[[#This Row],[BJP Vote Share]]-Telengana_Reaults_2019[[#This Row],[Max Votes Share other than BJP]]</f>
        <v>-0.402583815806</v>
      </c>
      <c r="R376">
        <v>1175703</v>
      </c>
      <c r="S376">
        <v>1585980</v>
      </c>
      <c r="T376" s="10">
        <v>0.74131010479000004</v>
      </c>
      <c r="U376" s="1" t="s">
        <v>68</v>
      </c>
    </row>
    <row r="377" spans="1:21" x14ac:dyDescent="0.35">
      <c r="A377" s="1" t="s">
        <v>18</v>
      </c>
      <c r="B377" s="1" t="s">
        <v>19</v>
      </c>
      <c r="C377" s="1" t="s">
        <v>653</v>
      </c>
      <c r="D377" s="1" t="s">
        <v>670</v>
      </c>
      <c r="E377" s="1" t="s">
        <v>21</v>
      </c>
      <c r="F377" s="1" t="s">
        <v>48</v>
      </c>
      <c r="G377" s="1" t="s">
        <v>67</v>
      </c>
      <c r="H377" s="1" t="s">
        <v>53</v>
      </c>
      <c r="I377" s="1" t="s">
        <v>46</v>
      </c>
      <c r="J377">
        <v>3366</v>
      </c>
      <c r="K377" s="9">
        <v>2.8629679434000002E-3</v>
      </c>
      <c r="L377" s="9">
        <v>0.44741571637999999</v>
      </c>
      <c r="M377">
        <v>526028</v>
      </c>
      <c r="N377">
        <v>52709</v>
      </c>
      <c r="O377" s="9">
        <v>4.4831900574000001E-2</v>
      </c>
      <c r="P377" s="11">
        <f>Telengana_Reaults_2019[[#This Row],[BJP Votes]]-Telengana_Reaults_2019[[#This Row],[Max Votes Other than BJP]]</f>
        <v>-473319</v>
      </c>
      <c r="Q377" s="9">
        <f>Telengana_Reaults_2019[[#This Row],[BJP Vote Share]]-Telengana_Reaults_2019[[#This Row],[Max Votes Share other than BJP]]</f>
        <v>-0.402583815806</v>
      </c>
      <c r="R377">
        <v>1175703</v>
      </c>
      <c r="S377">
        <v>1585980</v>
      </c>
      <c r="T377" s="10">
        <v>0.74131010479000004</v>
      </c>
      <c r="U377" s="1" t="s">
        <v>68</v>
      </c>
    </row>
    <row r="378" spans="1:21" x14ac:dyDescent="0.35">
      <c r="A378" s="1" t="s">
        <v>18</v>
      </c>
      <c r="B378" s="1" t="s">
        <v>19</v>
      </c>
      <c r="C378" s="1" t="s">
        <v>653</v>
      </c>
      <c r="D378" s="1" t="s">
        <v>671</v>
      </c>
      <c r="E378" s="1" t="s">
        <v>21</v>
      </c>
      <c r="F378" s="1" t="s">
        <v>135</v>
      </c>
      <c r="G378" s="1" t="s">
        <v>112</v>
      </c>
      <c r="H378" s="1" t="s">
        <v>53</v>
      </c>
      <c r="I378" s="1" t="s">
        <v>110</v>
      </c>
      <c r="J378">
        <v>3098</v>
      </c>
      <c r="K378" s="9">
        <v>2.6350192183000002E-3</v>
      </c>
      <c r="L378" s="9">
        <v>0.44741571637999999</v>
      </c>
      <c r="M378">
        <v>526028</v>
      </c>
      <c r="N378">
        <v>52709</v>
      </c>
      <c r="O378" s="9">
        <v>4.4831900574000001E-2</v>
      </c>
      <c r="P378" s="11">
        <f>Telengana_Reaults_2019[[#This Row],[BJP Votes]]-Telengana_Reaults_2019[[#This Row],[Max Votes Other than BJP]]</f>
        <v>-473319</v>
      </c>
      <c r="Q378" s="9">
        <f>Telengana_Reaults_2019[[#This Row],[BJP Vote Share]]-Telengana_Reaults_2019[[#This Row],[Max Votes Share other than BJP]]</f>
        <v>-0.402583815806</v>
      </c>
      <c r="R378">
        <v>1175703</v>
      </c>
      <c r="S378">
        <v>1585980</v>
      </c>
      <c r="T378" s="10">
        <v>0.74131010479000004</v>
      </c>
      <c r="U378" s="1" t="s">
        <v>68</v>
      </c>
    </row>
    <row r="379" spans="1:21" x14ac:dyDescent="0.35">
      <c r="A379" s="1" t="s">
        <v>18</v>
      </c>
      <c r="B379" s="1" t="s">
        <v>19</v>
      </c>
      <c r="C379" s="1" t="s">
        <v>653</v>
      </c>
      <c r="D379" s="1" t="s">
        <v>672</v>
      </c>
      <c r="E379" s="1" t="s">
        <v>21</v>
      </c>
      <c r="F379" s="1" t="s">
        <v>106</v>
      </c>
      <c r="G379" s="1" t="s">
        <v>112</v>
      </c>
      <c r="H379" s="1" t="s">
        <v>53</v>
      </c>
      <c r="I379" s="1" t="s">
        <v>136</v>
      </c>
      <c r="J379">
        <v>1830</v>
      </c>
      <c r="K379" s="9">
        <v>1.5565155485999999E-3</v>
      </c>
      <c r="L379" s="9">
        <v>0.44741571637999999</v>
      </c>
      <c r="M379">
        <v>526028</v>
      </c>
      <c r="N379">
        <v>52709</v>
      </c>
      <c r="O379" s="9">
        <v>4.4831900574000001E-2</v>
      </c>
      <c r="P379" s="11">
        <f>Telengana_Reaults_2019[[#This Row],[BJP Votes]]-Telengana_Reaults_2019[[#This Row],[Max Votes Other than BJP]]</f>
        <v>-473319</v>
      </c>
      <c r="Q379" s="9">
        <f>Telengana_Reaults_2019[[#This Row],[BJP Vote Share]]-Telengana_Reaults_2019[[#This Row],[Max Votes Share other than BJP]]</f>
        <v>-0.402583815806</v>
      </c>
      <c r="R379">
        <v>1175703</v>
      </c>
      <c r="S379">
        <v>1585980</v>
      </c>
      <c r="T379" s="10">
        <v>0.74131010479000004</v>
      </c>
      <c r="U379" s="1" t="s">
        <v>68</v>
      </c>
    </row>
    <row r="380" spans="1:21" x14ac:dyDescent="0.35">
      <c r="A380" s="1" t="s">
        <v>18</v>
      </c>
      <c r="B380" s="1" t="s">
        <v>19</v>
      </c>
      <c r="C380" s="1" t="s">
        <v>653</v>
      </c>
      <c r="D380" s="1" t="s">
        <v>673</v>
      </c>
      <c r="E380" s="1" t="s">
        <v>21</v>
      </c>
      <c r="F380" s="1" t="s">
        <v>155</v>
      </c>
      <c r="G380" s="1" t="s">
        <v>112</v>
      </c>
      <c r="H380" s="1" t="s">
        <v>53</v>
      </c>
      <c r="I380" s="1" t="s">
        <v>398</v>
      </c>
      <c r="J380">
        <v>4175</v>
      </c>
      <c r="K380" s="9">
        <v>3.5510668935999998E-3</v>
      </c>
      <c r="L380" s="9">
        <v>0.44741571637999999</v>
      </c>
      <c r="M380">
        <v>526028</v>
      </c>
      <c r="N380">
        <v>52709</v>
      </c>
      <c r="O380" s="9">
        <v>4.4831900574000001E-2</v>
      </c>
      <c r="P380" s="11">
        <f>Telengana_Reaults_2019[[#This Row],[BJP Votes]]-Telengana_Reaults_2019[[#This Row],[Max Votes Other than BJP]]</f>
        <v>-473319</v>
      </c>
      <c r="Q380" s="9">
        <f>Telengana_Reaults_2019[[#This Row],[BJP Vote Share]]-Telengana_Reaults_2019[[#This Row],[Max Votes Share other than BJP]]</f>
        <v>-0.402583815806</v>
      </c>
      <c r="R380">
        <v>1175703</v>
      </c>
      <c r="S380">
        <v>1585980</v>
      </c>
      <c r="T380" s="10">
        <v>0.74131010479000004</v>
      </c>
      <c r="U380" s="1" t="s">
        <v>68</v>
      </c>
    </row>
    <row r="381" spans="1:21" x14ac:dyDescent="0.35">
      <c r="A381" s="1" t="s">
        <v>18</v>
      </c>
      <c r="B381" s="1" t="s">
        <v>19</v>
      </c>
      <c r="C381" s="1" t="s">
        <v>653</v>
      </c>
      <c r="D381" s="1" t="s">
        <v>674</v>
      </c>
      <c r="E381" s="1" t="s">
        <v>35</v>
      </c>
      <c r="F381" s="1" t="s">
        <v>75</v>
      </c>
      <c r="G381" s="1" t="s">
        <v>67</v>
      </c>
      <c r="H381" s="1" t="s">
        <v>53</v>
      </c>
      <c r="I381" s="1" t="s">
        <v>139</v>
      </c>
      <c r="J381">
        <v>4965</v>
      </c>
      <c r="K381" s="9">
        <v>4.2230052998000001E-3</v>
      </c>
      <c r="L381" s="9">
        <v>0.44741571637999999</v>
      </c>
      <c r="M381">
        <v>526028</v>
      </c>
      <c r="N381">
        <v>52709</v>
      </c>
      <c r="O381" s="9">
        <v>4.4831900574000001E-2</v>
      </c>
      <c r="P381" s="11">
        <f>Telengana_Reaults_2019[[#This Row],[BJP Votes]]-Telengana_Reaults_2019[[#This Row],[Max Votes Other than BJP]]</f>
        <v>-473319</v>
      </c>
      <c r="Q381" s="9">
        <f>Telengana_Reaults_2019[[#This Row],[BJP Vote Share]]-Telengana_Reaults_2019[[#This Row],[Max Votes Share other than BJP]]</f>
        <v>-0.402583815806</v>
      </c>
      <c r="R381">
        <v>1175703</v>
      </c>
      <c r="S381">
        <v>1585980</v>
      </c>
      <c r="T381" s="10">
        <v>0.74131010479000004</v>
      </c>
      <c r="U381" s="1" t="s">
        <v>68</v>
      </c>
    </row>
    <row r="382" spans="1:21" x14ac:dyDescent="0.35">
      <c r="A382" s="1" t="s">
        <v>18</v>
      </c>
      <c r="B382" s="1" t="s">
        <v>19</v>
      </c>
      <c r="C382" s="1" t="s">
        <v>653</v>
      </c>
      <c r="D382" s="1" t="s">
        <v>675</v>
      </c>
      <c r="E382" s="1" t="s">
        <v>21</v>
      </c>
      <c r="F382" s="1" t="s">
        <v>22</v>
      </c>
      <c r="G382" s="1" t="s">
        <v>112</v>
      </c>
      <c r="H382" s="1" t="s">
        <v>53</v>
      </c>
      <c r="I382" s="1" t="s">
        <v>181</v>
      </c>
      <c r="J382">
        <v>824</v>
      </c>
      <c r="K382" s="9">
        <v>7.0085727432999995E-4</v>
      </c>
      <c r="L382" s="9">
        <v>0.44741571637999999</v>
      </c>
      <c r="M382">
        <v>526028</v>
      </c>
      <c r="N382">
        <v>52709</v>
      </c>
      <c r="O382" s="9">
        <v>4.4831900574000001E-2</v>
      </c>
      <c r="P382" s="11">
        <f>Telengana_Reaults_2019[[#This Row],[BJP Votes]]-Telengana_Reaults_2019[[#This Row],[Max Votes Other than BJP]]</f>
        <v>-473319</v>
      </c>
      <c r="Q382" s="9">
        <f>Telengana_Reaults_2019[[#This Row],[BJP Vote Share]]-Telengana_Reaults_2019[[#This Row],[Max Votes Share other than BJP]]</f>
        <v>-0.402583815806</v>
      </c>
      <c r="R382">
        <v>1175703</v>
      </c>
      <c r="S382">
        <v>1585980</v>
      </c>
      <c r="T382" s="10">
        <v>0.74131010479000004</v>
      </c>
      <c r="U382" s="1" t="s">
        <v>68</v>
      </c>
    </row>
    <row r="383" spans="1:21" x14ac:dyDescent="0.35">
      <c r="A383" s="1" t="s">
        <v>18</v>
      </c>
      <c r="B383" s="1" t="s">
        <v>19</v>
      </c>
      <c r="C383" s="1" t="s">
        <v>653</v>
      </c>
      <c r="D383" s="1" t="s">
        <v>676</v>
      </c>
      <c r="E383" s="1" t="s">
        <v>21</v>
      </c>
      <c r="F383" s="1" t="s">
        <v>135</v>
      </c>
      <c r="G383" s="1" t="s">
        <v>67</v>
      </c>
      <c r="H383" s="1" t="s">
        <v>53</v>
      </c>
      <c r="I383" s="1" t="s">
        <v>194</v>
      </c>
      <c r="J383">
        <v>557</v>
      </c>
      <c r="K383" s="9">
        <v>4.7375910413000001E-4</v>
      </c>
      <c r="L383" s="9">
        <v>0.44741571637999999</v>
      </c>
      <c r="M383">
        <v>526028</v>
      </c>
      <c r="N383">
        <v>52709</v>
      </c>
      <c r="O383" s="9">
        <v>4.4831900574000001E-2</v>
      </c>
      <c r="P383" s="11">
        <f>Telengana_Reaults_2019[[#This Row],[BJP Votes]]-Telengana_Reaults_2019[[#This Row],[Max Votes Other than BJP]]</f>
        <v>-473319</v>
      </c>
      <c r="Q383" s="9">
        <f>Telengana_Reaults_2019[[#This Row],[BJP Vote Share]]-Telengana_Reaults_2019[[#This Row],[Max Votes Share other than BJP]]</f>
        <v>-0.402583815806</v>
      </c>
      <c r="R383">
        <v>1175703</v>
      </c>
      <c r="S383">
        <v>1585980</v>
      </c>
      <c r="T383" s="10">
        <v>0.74131010479000004</v>
      </c>
      <c r="U383" s="1" t="s">
        <v>68</v>
      </c>
    </row>
    <row r="384" spans="1:21" x14ac:dyDescent="0.35">
      <c r="A384" s="1" t="s">
        <v>18</v>
      </c>
      <c r="B384" s="1" t="s">
        <v>19</v>
      </c>
      <c r="C384" s="1" t="s">
        <v>653</v>
      </c>
      <c r="D384" s="1" t="s">
        <v>677</v>
      </c>
      <c r="E384" s="1" t="s">
        <v>21</v>
      </c>
      <c r="F384" s="1" t="s">
        <v>265</v>
      </c>
      <c r="G384" s="1" t="s">
        <v>23</v>
      </c>
      <c r="H384" s="1" t="s">
        <v>53</v>
      </c>
      <c r="I384" s="1" t="s">
        <v>232</v>
      </c>
      <c r="J384">
        <v>2517</v>
      </c>
      <c r="K384" s="9">
        <v>2.1408467955000001E-3</v>
      </c>
      <c r="L384" s="9">
        <v>0.44741571637999999</v>
      </c>
      <c r="M384">
        <v>526028</v>
      </c>
      <c r="N384">
        <v>52709</v>
      </c>
      <c r="O384" s="9">
        <v>4.4831900574000001E-2</v>
      </c>
      <c r="P384" s="11">
        <f>Telengana_Reaults_2019[[#This Row],[BJP Votes]]-Telengana_Reaults_2019[[#This Row],[Max Votes Other than BJP]]</f>
        <v>-473319</v>
      </c>
      <c r="Q384" s="9">
        <f>Telengana_Reaults_2019[[#This Row],[BJP Vote Share]]-Telengana_Reaults_2019[[#This Row],[Max Votes Share other than BJP]]</f>
        <v>-0.402583815806</v>
      </c>
      <c r="R384">
        <v>1175703</v>
      </c>
      <c r="S384">
        <v>1585980</v>
      </c>
      <c r="T384" s="10">
        <v>0.74131010479000004</v>
      </c>
      <c r="U384" s="1" t="s">
        <v>68</v>
      </c>
    </row>
    <row r="385" spans="1:21" x14ac:dyDescent="0.35">
      <c r="A385" s="1" t="s">
        <v>18</v>
      </c>
      <c r="B385" s="1" t="s">
        <v>19</v>
      </c>
      <c r="C385" s="1" t="s">
        <v>653</v>
      </c>
      <c r="D385" s="1" t="s">
        <v>678</v>
      </c>
      <c r="E385" s="1" t="s">
        <v>21</v>
      </c>
      <c r="F385" s="1" t="s">
        <v>559</v>
      </c>
      <c r="G385" s="1" t="s">
        <v>112</v>
      </c>
      <c r="H385" s="1" t="s">
        <v>53</v>
      </c>
      <c r="I385" s="1" t="s">
        <v>206</v>
      </c>
      <c r="J385">
        <v>1046</v>
      </c>
      <c r="K385" s="9">
        <v>8.8968047202000002E-4</v>
      </c>
      <c r="L385" s="9">
        <v>0.44741571637999999</v>
      </c>
      <c r="M385">
        <v>526028</v>
      </c>
      <c r="N385">
        <v>52709</v>
      </c>
      <c r="O385" s="9">
        <v>4.4831900574000001E-2</v>
      </c>
      <c r="P385" s="11">
        <f>Telengana_Reaults_2019[[#This Row],[BJP Votes]]-Telengana_Reaults_2019[[#This Row],[Max Votes Other than BJP]]</f>
        <v>-473319</v>
      </c>
      <c r="Q385" s="9">
        <f>Telengana_Reaults_2019[[#This Row],[BJP Vote Share]]-Telengana_Reaults_2019[[#This Row],[Max Votes Share other than BJP]]</f>
        <v>-0.402583815806</v>
      </c>
      <c r="R385">
        <v>1175703</v>
      </c>
      <c r="S385">
        <v>1585980</v>
      </c>
      <c r="T385" s="10">
        <v>0.74131010479000004</v>
      </c>
      <c r="U385" s="1" t="s">
        <v>68</v>
      </c>
    </row>
    <row r="386" spans="1:21" x14ac:dyDescent="0.35">
      <c r="A386" s="1" t="s">
        <v>18</v>
      </c>
      <c r="B386" s="1" t="s">
        <v>19</v>
      </c>
      <c r="C386" s="1" t="s">
        <v>653</v>
      </c>
      <c r="D386" s="1" t="s">
        <v>679</v>
      </c>
      <c r="E386" s="1" t="s">
        <v>21</v>
      </c>
      <c r="F386" s="1" t="s">
        <v>200</v>
      </c>
      <c r="G386" s="1" t="s">
        <v>112</v>
      </c>
      <c r="H386" s="1" t="s">
        <v>53</v>
      </c>
      <c r="I386" s="1" t="s">
        <v>102</v>
      </c>
      <c r="J386">
        <v>8585</v>
      </c>
      <c r="K386" s="9">
        <v>7.3020141992000001E-3</v>
      </c>
      <c r="L386" s="9">
        <v>0.44741571637999999</v>
      </c>
      <c r="M386">
        <v>526028</v>
      </c>
      <c r="N386">
        <v>52709</v>
      </c>
      <c r="O386" s="9">
        <v>4.4831900574000001E-2</v>
      </c>
      <c r="P386" s="11">
        <f>Telengana_Reaults_2019[[#This Row],[BJP Votes]]-Telengana_Reaults_2019[[#This Row],[Max Votes Other than BJP]]</f>
        <v>-473319</v>
      </c>
      <c r="Q386" s="9">
        <f>Telengana_Reaults_2019[[#This Row],[BJP Vote Share]]-Telengana_Reaults_2019[[#This Row],[Max Votes Share other than BJP]]</f>
        <v>-0.402583815806</v>
      </c>
      <c r="R386">
        <v>1175703</v>
      </c>
      <c r="S386">
        <v>1585980</v>
      </c>
      <c r="T386" s="10">
        <v>0.74131010479000004</v>
      </c>
      <c r="U386" s="1" t="s">
        <v>68</v>
      </c>
    </row>
    <row r="387" spans="1:21" x14ac:dyDescent="0.35">
      <c r="A387" s="1" t="s">
        <v>18</v>
      </c>
      <c r="B387" s="1" t="s">
        <v>19</v>
      </c>
      <c r="C387" s="1" t="s">
        <v>653</v>
      </c>
      <c r="D387" s="1" t="s">
        <v>680</v>
      </c>
      <c r="E387" s="1" t="s">
        <v>21</v>
      </c>
      <c r="F387" s="1" t="s">
        <v>48</v>
      </c>
      <c r="G387" s="1" t="s">
        <v>112</v>
      </c>
      <c r="H387" s="1" t="s">
        <v>53</v>
      </c>
      <c r="I387" s="1" t="s">
        <v>284</v>
      </c>
      <c r="J387">
        <v>2010</v>
      </c>
      <c r="K387" s="9">
        <v>1.7096154385999999E-3</v>
      </c>
      <c r="L387" s="9">
        <v>0.44741571637999999</v>
      </c>
      <c r="M387">
        <v>526028</v>
      </c>
      <c r="N387">
        <v>52709</v>
      </c>
      <c r="O387" s="9">
        <v>4.4831900574000001E-2</v>
      </c>
      <c r="P387" s="11">
        <f>Telengana_Reaults_2019[[#This Row],[BJP Votes]]-Telengana_Reaults_2019[[#This Row],[Max Votes Other than BJP]]</f>
        <v>-473319</v>
      </c>
      <c r="Q387" s="9">
        <f>Telengana_Reaults_2019[[#This Row],[BJP Vote Share]]-Telengana_Reaults_2019[[#This Row],[Max Votes Share other than BJP]]</f>
        <v>-0.402583815806</v>
      </c>
      <c r="R387">
        <v>1175703</v>
      </c>
      <c r="S387">
        <v>1585980</v>
      </c>
      <c r="T387" s="10">
        <v>0.74131010479000004</v>
      </c>
      <c r="U387" s="1" t="s">
        <v>68</v>
      </c>
    </row>
    <row r="388" spans="1:21" x14ac:dyDescent="0.35">
      <c r="A388" s="1" t="s">
        <v>18</v>
      </c>
      <c r="B388" s="1" t="s">
        <v>19</v>
      </c>
      <c r="C388" s="1" t="s">
        <v>653</v>
      </c>
      <c r="D388" s="1" t="s">
        <v>681</v>
      </c>
      <c r="E388" s="1" t="s">
        <v>21</v>
      </c>
      <c r="F388" s="1" t="s">
        <v>559</v>
      </c>
      <c r="G388" s="1" t="s">
        <v>112</v>
      </c>
      <c r="H388" s="1" t="s">
        <v>53</v>
      </c>
      <c r="I388" s="1" t="s">
        <v>63</v>
      </c>
      <c r="J388">
        <v>1235</v>
      </c>
      <c r="K388" s="9">
        <v>1.0504353565E-3</v>
      </c>
      <c r="L388" s="9">
        <v>0.44741571637999999</v>
      </c>
      <c r="M388">
        <v>526028</v>
      </c>
      <c r="N388">
        <v>52709</v>
      </c>
      <c r="O388" s="9">
        <v>4.4831900574000001E-2</v>
      </c>
      <c r="P388" s="11">
        <f>Telengana_Reaults_2019[[#This Row],[BJP Votes]]-Telengana_Reaults_2019[[#This Row],[Max Votes Other than BJP]]</f>
        <v>-473319</v>
      </c>
      <c r="Q388" s="9">
        <f>Telengana_Reaults_2019[[#This Row],[BJP Vote Share]]-Telengana_Reaults_2019[[#This Row],[Max Votes Share other than BJP]]</f>
        <v>-0.402583815806</v>
      </c>
      <c r="R388">
        <v>1175703</v>
      </c>
      <c r="S388">
        <v>1585980</v>
      </c>
      <c r="T388" s="10">
        <v>0.74131010479000004</v>
      </c>
      <c r="U388" s="1" t="s">
        <v>68</v>
      </c>
    </row>
    <row r="389" spans="1:21" x14ac:dyDescent="0.35">
      <c r="A389" s="1" t="s">
        <v>18</v>
      </c>
      <c r="B389" s="1" t="s">
        <v>19</v>
      </c>
      <c r="C389" s="1" t="s">
        <v>653</v>
      </c>
      <c r="D389" s="1" t="s">
        <v>682</v>
      </c>
      <c r="E389" s="1" t="s">
        <v>21</v>
      </c>
      <c r="F389" s="1" t="s">
        <v>200</v>
      </c>
      <c r="G389" s="1" t="s">
        <v>67</v>
      </c>
      <c r="H389" s="1" t="s">
        <v>53</v>
      </c>
      <c r="I389" s="1" t="s">
        <v>93</v>
      </c>
      <c r="J389">
        <v>5376</v>
      </c>
      <c r="K389" s="9">
        <v>4.5725833820000001E-3</v>
      </c>
      <c r="L389" s="9">
        <v>0.44741571637999999</v>
      </c>
      <c r="M389">
        <v>526028</v>
      </c>
      <c r="N389">
        <v>52709</v>
      </c>
      <c r="O389" s="9">
        <v>4.4831900574000001E-2</v>
      </c>
      <c r="P389" s="11">
        <f>Telengana_Reaults_2019[[#This Row],[BJP Votes]]-Telengana_Reaults_2019[[#This Row],[Max Votes Other than BJP]]</f>
        <v>-473319</v>
      </c>
      <c r="Q389" s="9">
        <f>Telengana_Reaults_2019[[#This Row],[BJP Vote Share]]-Telengana_Reaults_2019[[#This Row],[Max Votes Share other than BJP]]</f>
        <v>-0.402583815806</v>
      </c>
      <c r="R389">
        <v>1175703</v>
      </c>
      <c r="S389">
        <v>1585980</v>
      </c>
      <c r="T389" s="10">
        <v>0.74131010479000004</v>
      </c>
      <c r="U389" s="1" t="s">
        <v>68</v>
      </c>
    </row>
    <row r="390" spans="1:21" x14ac:dyDescent="0.35">
      <c r="A390" s="1" t="s">
        <v>18</v>
      </c>
      <c r="B390" s="1" t="s">
        <v>19</v>
      </c>
      <c r="C390" s="1" t="s">
        <v>653</v>
      </c>
      <c r="D390" s="1" t="s">
        <v>683</v>
      </c>
      <c r="E390" s="1" t="s">
        <v>21</v>
      </c>
      <c r="F390" s="1" t="s">
        <v>145</v>
      </c>
      <c r="G390" s="1" t="s">
        <v>112</v>
      </c>
      <c r="H390" s="1" t="s">
        <v>53</v>
      </c>
      <c r="I390" s="1" t="s">
        <v>89</v>
      </c>
      <c r="J390">
        <v>1422</v>
      </c>
      <c r="K390" s="9">
        <v>1.2094891312000001E-3</v>
      </c>
      <c r="L390" s="9">
        <v>0.44741571637999999</v>
      </c>
      <c r="M390">
        <v>526028</v>
      </c>
      <c r="N390">
        <v>52709</v>
      </c>
      <c r="O390" s="9">
        <v>4.4831900574000001E-2</v>
      </c>
      <c r="P390" s="11">
        <f>Telengana_Reaults_2019[[#This Row],[BJP Votes]]-Telengana_Reaults_2019[[#This Row],[Max Votes Other than BJP]]</f>
        <v>-473319</v>
      </c>
      <c r="Q390" s="9">
        <f>Telengana_Reaults_2019[[#This Row],[BJP Vote Share]]-Telengana_Reaults_2019[[#This Row],[Max Votes Share other than BJP]]</f>
        <v>-0.402583815806</v>
      </c>
      <c r="R390">
        <v>1175703</v>
      </c>
      <c r="S390">
        <v>1585980</v>
      </c>
      <c r="T390" s="10">
        <v>0.74131010479000004</v>
      </c>
      <c r="U390" s="1" t="s">
        <v>68</v>
      </c>
    </row>
    <row r="391" spans="1:21" x14ac:dyDescent="0.35">
      <c r="A391" s="1" t="s">
        <v>18</v>
      </c>
      <c r="B391" s="1" t="s">
        <v>19</v>
      </c>
      <c r="C391" s="1" t="s">
        <v>653</v>
      </c>
      <c r="D391" s="1" t="s">
        <v>684</v>
      </c>
      <c r="E391" s="1" t="s">
        <v>21</v>
      </c>
      <c r="F391" s="1" t="s">
        <v>80</v>
      </c>
      <c r="G391" s="1" t="s">
        <v>23</v>
      </c>
      <c r="H391" s="1" t="s">
        <v>53</v>
      </c>
      <c r="I391" s="1" t="s">
        <v>38</v>
      </c>
      <c r="J391">
        <v>2643</v>
      </c>
      <c r="K391" s="9">
        <v>2.2480167185000002E-3</v>
      </c>
      <c r="L391" s="9">
        <v>0.44741571637999999</v>
      </c>
      <c r="M391">
        <v>526028</v>
      </c>
      <c r="N391">
        <v>52709</v>
      </c>
      <c r="O391" s="9">
        <v>4.4831900574000001E-2</v>
      </c>
      <c r="P391" s="11">
        <f>Telengana_Reaults_2019[[#This Row],[BJP Votes]]-Telengana_Reaults_2019[[#This Row],[Max Votes Other than BJP]]</f>
        <v>-473319</v>
      </c>
      <c r="Q391" s="9">
        <f>Telengana_Reaults_2019[[#This Row],[BJP Vote Share]]-Telengana_Reaults_2019[[#This Row],[Max Votes Share other than BJP]]</f>
        <v>-0.402583815806</v>
      </c>
      <c r="R391">
        <v>1175703</v>
      </c>
      <c r="S391">
        <v>1585980</v>
      </c>
      <c r="T391" s="10">
        <v>0.74131010479000004</v>
      </c>
      <c r="U391" s="1" t="s">
        <v>68</v>
      </c>
    </row>
    <row r="392" spans="1:21" x14ac:dyDescent="0.35">
      <c r="A392" s="1" t="s">
        <v>18</v>
      </c>
      <c r="B392" s="1" t="s">
        <v>19</v>
      </c>
      <c r="C392" s="1" t="s">
        <v>653</v>
      </c>
      <c r="D392" s="1" t="s">
        <v>64</v>
      </c>
      <c r="E392" s="1" t="s">
        <v>64</v>
      </c>
      <c r="F392" s="1" t="s">
        <v>64</v>
      </c>
      <c r="G392" s="1" t="s">
        <v>64</v>
      </c>
      <c r="H392" s="1" t="s">
        <v>64</v>
      </c>
      <c r="I392" s="1" t="s">
        <v>64</v>
      </c>
      <c r="J392">
        <v>5560</v>
      </c>
      <c r="K392" s="9">
        <v>4.7290854918000001E-3</v>
      </c>
      <c r="L392" s="9">
        <v>0.44741571637999999</v>
      </c>
      <c r="M392">
        <v>526028</v>
      </c>
      <c r="N392">
        <v>52709</v>
      </c>
      <c r="O392" s="9">
        <v>4.4831900574000001E-2</v>
      </c>
      <c r="P392" s="11">
        <f>Telengana_Reaults_2019[[#This Row],[BJP Votes]]-Telengana_Reaults_2019[[#This Row],[Max Votes Other than BJP]]</f>
        <v>-473319</v>
      </c>
      <c r="Q392" s="9">
        <f>Telengana_Reaults_2019[[#This Row],[BJP Vote Share]]-Telengana_Reaults_2019[[#This Row],[Max Votes Share other than BJP]]</f>
        <v>-0.402583815806</v>
      </c>
      <c r="R392">
        <v>1175703</v>
      </c>
      <c r="S392">
        <v>1585980</v>
      </c>
      <c r="T392" s="10">
        <v>0.74131010479000004</v>
      </c>
      <c r="U392" s="1" t="s">
        <v>68</v>
      </c>
    </row>
    <row r="393" spans="1:21" x14ac:dyDescent="0.35">
      <c r="A393" s="1" t="s">
        <v>18</v>
      </c>
      <c r="B393" s="1" t="s">
        <v>19</v>
      </c>
      <c r="C393" s="1" t="s">
        <v>1244</v>
      </c>
      <c r="D393" s="1" t="s">
        <v>685</v>
      </c>
      <c r="E393" s="1" t="s">
        <v>21</v>
      </c>
      <c r="F393" s="1" t="s">
        <v>362</v>
      </c>
      <c r="G393" s="1" t="s">
        <v>112</v>
      </c>
      <c r="H393" s="1" t="s">
        <v>29</v>
      </c>
      <c r="I393" s="1" t="s">
        <v>30</v>
      </c>
      <c r="J393">
        <v>532795</v>
      </c>
      <c r="K393" s="9">
        <v>0.43937108651000001</v>
      </c>
      <c r="L393" s="9">
        <v>0.43937108651000001</v>
      </c>
      <c r="M393">
        <v>532795</v>
      </c>
      <c r="N393">
        <v>65457</v>
      </c>
      <c r="O393" s="9">
        <v>5.3979322646E-2</v>
      </c>
      <c r="P393" s="11">
        <f>Telengana_Reaults_2019[[#This Row],[BJP Votes]]-Telengana_Reaults_2019[[#This Row],[Max Votes Other than BJP]]</f>
        <v>-467338</v>
      </c>
      <c r="Q393" s="9">
        <f>Telengana_Reaults_2019[[#This Row],[BJP Vote Share]]-Telengana_Reaults_2019[[#This Row],[Max Votes Share other than BJP]]</f>
        <v>-0.38539176386399998</v>
      </c>
      <c r="R393">
        <v>1212631</v>
      </c>
      <c r="S393">
        <v>1628033</v>
      </c>
      <c r="T393" s="10">
        <v>0.74484423842000003</v>
      </c>
      <c r="U393" s="1" t="s">
        <v>68</v>
      </c>
    </row>
    <row r="394" spans="1:21" x14ac:dyDescent="0.35">
      <c r="A394" s="1" t="s">
        <v>18</v>
      </c>
      <c r="B394" s="1" t="s">
        <v>19</v>
      </c>
      <c r="C394" s="1" t="s">
        <v>1244</v>
      </c>
      <c r="D394" s="1" t="s">
        <v>686</v>
      </c>
      <c r="E394" s="1" t="s">
        <v>21</v>
      </c>
      <c r="F394" s="1" t="s">
        <v>22</v>
      </c>
      <c r="G394" s="1" t="s">
        <v>112</v>
      </c>
      <c r="H394" s="1" t="s">
        <v>687</v>
      </c>
      <c r="I394" s="1" t="s">
        <v>688</v>
      </c>
      <c r="J394">
        <v>28153</v>
      </c>
      <c r="K394" s="9">
        <v>2.3216460737E-2</v>
      </c>
      <c r="L394" s="9">
        <v>0.43937108651000001</v>
      </c>
      <c r="M394">
        <v>532795</v>
      </c>
      <c r="N394">
        <v>65457</v>
      </c>
      <c r="O394" s="9">
        <v>5.3979322646E-2</v>
      </c>
      <c r="P394" s="11">
        <f>Telengana_Reaults_2019[[#This Row],[BJP Votes]]-Telengana_Reaults_2019[[#This Row],[Max Votes Other than BJP]]</f>
        <v>-467338</v>
      </c>
      <c r="Q394" s="9">
        <f>Telengana_Reaults_2019[[#This Row],[BJP Vote Share]]-Telengana_Reaults_2019[[#This Row],[Max Votes Share other than BJP]]</f>
        <v>-0.38539176386399998</v>
      </c>
      <c r="R394">
        <v>1212631</v>
      </c>
      <c r="S394">
        <v>1628033</v>
      </c>
      <c r="T394" s="10">
        <v>0.74484423842000003</v>
      </c>
      <c r="U394" s="1" t="s">
        <v>68</v>
      </c>
    </row>
    <row r="395" spans="1:21" x14ac:dyDescent="0.35">
      <c r="A395" s="1" t="s">
        <v>18</v>
      </c>
      <c r="B395" s="1" t="s">
        <v>19</v>
      </c>
      <c r="C395" s="1" t="s">
        <v>1244</v>
      </c>
      <c r="D395" s="1" t="s">
        <v>689</v>
      </c>
      <c r="E395" s="1" t="s">
        <v>21</v>
      </c>
      <c r="F395" s="1" t="s">
        <v>66</v>
      </c>
      <c r="G395" s="1" t="s">
        <v>112</v>
      </c>
      <c r="H395" s="1" t="s">
        <v>24</v>
      </c>
      <c r="I395" s="1" t="s">
        <v>25</v>
      </c>
      <c r="J395">
        <v>527576</v>
      </c>
      <c r="K395" s="9">
        <v>0.4350672216</v>
      </c>
      <c r="L395" s="9">
        <v>0.43937108651000001</v>
      </c>
      <c r="M395">
        <v>532795</v>
      </c>
      <c r="N395">
        <v>65457</v>
      </c>
      <c r="O395" s="9">
        <v>5.3979322646E-2</v>
      </c>
      <c r="P395" s="11">
        <f>Telengana_Reaults_2019[[#This Row],[BJP Votes]]-Telengana_Reaults_2019[[#This Row],[Max Votes Other than BJP]]</f>
        <v>-467338</v>
      </c>
      <c r="Q395" s="9">
        <f>Telengana_Reaults_2019[[#This Row],[BJP Vote Share]]-Telengana_Reaults_2019[[#This Row],[Max Votes Share other than BJP]]</f>
        <v>-0.38539176386399998</v>
      </c>
      <c r="R395">
        <v>1212631</v>
      </c>
      <c r="S395">
        <v>1628033</v>
      </c>
      <c r="T395" s="10">
        <v>0.74484423842000003</v>
      </c>
      <c r="U395" s="1" t="s">
        <v>68</v>
      </c>
    </row>
    <row r="396" spans="1:21" x14ac:dyDescent="0.35">
      <c r="A396" s="1" t="s">
        <v>18</v>
      </c>
      <c r="B396" s="1" t="s">
        <v>19</v>
      </c>
      <c r="C396" s="1" t="s">
        <v>1244</v>
      </c>
      <c r="D396" s="1" t="s">
        <v>690</v>
      </c>
      <c r="E396" s="1" t="s">
        <v>21</v>
      </c>
      <c r="F396" s="1" t="s">
        <v>62</v>
      </c>
      <c r="G396" s="1" t="s">
        <v>112</v>
      </c>
      <c r="H396" s="1" t="s">
        <v>32</v>
      </c>
      <c r="I396" s="1" t="s">
        <v>33</v>
      </c>
      <c r="J396">
        <v>65457</v>
      </c>
      <c r="K396" s="9">
        <v>5.3979322646E-2</v>
      </c>
      <c r="L396" s="9">
        <v>0.43937108651000001</v>
      </c>
      <c r="M396">
        <v>532795</v>
      </c>
      <c r="N396">
        <v>65457</v>
      </c>
      <c r="O396" s="9">
        <v>5.3979322646E-2</v>
      </c>
      <c r="P396" s="11">
        <f>Telengana_Reaults_2019[[#This Row],[BJP Votes]]-Telengana_Reaults_2019[[#This Row],[Max Votes Other than BJP]]</f>
        <v>-467338</v>
      </c>
      <c r="Q396" s="9">
        <f>Telengana_Reaults_2019[[#This Row],[BJP Vote Share]]-Telengana_Reaults_2019[[#This Row],[Max Votes Share other than BJP]]</f>
        <v>-0.38539176386399998</v>
      </c>
      <c r="R396">
        <v>1212631</v>
      </c>
      <c r="S396">
        <v>1628033</v>
      </c>
      <c r="T396" s="10">
        <v>0.74484423842000003</v>
      </c>
      <c r="U396" s="1" t="s">
        <v>68</v>
      </c>
    </row>
    <row r="397" spans="1:21" x14ac:dyDescent="0.35">
      <c r="A397" s="1" t="s">
        <v>18</v>
      </c>
      <c r="B397" s="1" t="s">
        <v>19</v>
      </c>
      <c r="C397" s="1" t="s">
        <v>1244</v>
      </c>
      <c r="D397" s="1" t="s">
        <v>691</v>
      </c>
      <c r="E397" s="1" t="s">
        <v>21</v>
      </c>
      <c r="F397" s="1" t="s">
        <v>143</v>
      </c>
      <c r="G397" s="1" t="s">
        <v>67</v>
      </c>
      <c r="H397" s="1" t="s">
        <v>512</v>
      </c>
      <c r="I397" s="1" t="s">
        <v>291</v>
      </c>
      <c r="J397">
        <v>1648</v>
      </c>
      <c r="K397" s="9">
        <v>1.3590284266000001E-3</v>
      </c>
      <c r="L397" s="9">
        <v>0.43937108651000001</v>
      </c>
      <c r="M397">
        <v>532795</v>
      </c>
      <c r="N397">
        <v>65457</v>
      </c>
      <c r="O397" s="9">
        <v>5.3979322646E-2</v>
      </c>
      <c r="P397" s="11">
        <f>Telengana_Reaults_2019[[#This Row],[BJP Votes]]-Telengana_Reaults_2019[[#This Row],[Max Votes Other than BJP]]</f>
        <v>-467338</v>
      </c>
      <c r="Q397" s="9">
        <f>Telengana_Reaults_2019[[#This Row],[BJP Vote Share]]-Telengana_Reaults_2019[[#This Row],[Max Votes Share other than BJP]]</f>
        <v>-0.38539176386399998</v>
      </c>
      <c r="R397">
        <v>1212631</v>
      </c>
      <c r="S397">
        <v>1628033</v>
      </c>
      <c r="T397" s="10">
        <v>0.74484423842000003</v>
      </c>
      <c r="U397" s="1" t="s">
        <v>68</v>
      </c>
    </row>
    <row r="398" spans="1:21" x14ac:dyDescent="0.35">
      <c r="A398" s="1" t="s">
        <v>18</v>
      </c>
      <c r="B398" s="1" t="s">
        <v>19</v>
      </c>
      <c r="C398" s="1" t="s">
        <v>1244</v>
      </c>
      <c r="D398" s="1" t="s">
        <v>692</v>
      </c>
      <c r="E398" s="1" t="s">
        <v>21</v>
      </c>
      <c r="F398" s="1" t="s">
        <v>28</v>
      </c>
      <c r="G398" s="1" t="s">
        <v>112</v>
      </c>
      <c r="H398" s="1" t="s">
        <v>126</v>
      </c>
      <c r="I398" s="1" t="s">
        <v>127</v>
      </c>
      <c r="J398">
        <v>1158</v>
      </c>
      <c r="K398" s="9">
        <v>9.5494837259000004E-4</v>
      </c>
      <c r="L398" s="9">
        <v>0.43937108651000001</v>
      </c>
      <c r="M398">
        <v>532795</v>
      </c>
      <c r="N398">
        <v>65457</v>
      </c>
      <c r="O398" s="9">
        <v>5.3979322646E-2</v>
      </c>
      <c r="P398" s="11">
        <f>Telengana_Reaults_2019[[#This Row],[BJP Votes]]-Telengana_Reaults_2019[[#This Row],[Max Votes Other than BJP]]</f>
        <v>-467338</v>
      </c>
      <c r="Q398" s="9">
        <f>Telengana_Reaults_2019[[#This Row],[BJP Vote Share]]-Telengana_Reaults_2019[[#This Row],[Max Votes Share other than BJP]]</f>
        <v>-0.38539176386399998</v>
      </c>
      <c r="R398">
        <v>1212631</v>
      </c>
      <c r="S398">
        <v>1628033</v>
      </c>
      <c r="T398" s="10">
        <v>0.74484423842000003</v>
      </c>
      <c r="U398" s="1" t="s">
        <v>68</v>
      </c>
    </row>
    <row r="399" spans="1:21" x14ac:dyDescent="0.35">
      <c r="A399" s="1" t="s">
        <v>18</v>
      </c>
      <c r="B399" s="1" t="s">
        <v>19</v>
      </c>
      <c r="C399" s="1" t="s">
        <v>1244</v>
      </c>
      <c r="D399" s="1" t="s">
        <v>693</v>
      </c>
      <c r="E399" s="1" t="s">
        <v>21</v>
      </c>
      <c r="F399" s="1" t="s">
        <v>71</v>
      </c>
      <c r="G399" s="1" t="s">
        <v>67</v>
      </c>
      <c r="H399" s="1" t="s">
        <v>694</v>
      </c>
      <c r="I399" s="1" t="s">
        <v>89</v>
      </c>
      <c r="J399">
        <v>1416</v>
      </c>
      <c r="K399" s="9">
        <v>1.1677088907999999E-3</v>
      </c>
      <c r="L399" s="9">
        <v>0.43937108651000001</v>
      </c>
      <c r="M399">
        <v>532795</v>
      </c>
      <c r="N399">
        <v>65457</v>
      </c>
      <c r="O399" s="9">
        <v>5.3979322646E-2</v>
      </c>
      <c r="P399" s="11">
        <f>Telengana_Reaults_2019[[#This Row],[BJP Votes]]-Telengana_Reaults_2019[[#This Row],[Max Votes Other than BJP]]</f>
        <v>-467338</v>
      </c>
      <c r="Q399" s="9">
        <f>Telengana_Reaults_2019[[#This Row],[BJP Vote Share]]-Telengana_Reaults_2019[[#This Row],[Max Votes Share other than BJP]]</f>
        <v>-0.38539176386399998</v>
      </c>
      <c r="R399">
        <v>1212631</v>
      </c>
      <c r="S399">
        <v>1628033</v>
      </c>
      <c r="T399" s="10">
        <v>0.74484423842000003</v>
      </c>
      <c r="U399" s="1" t="s">
        <v>68</v>
      </c>
    </row>
    <row r="400" spans="1:21" x14ac:dyDescent="0.35">
      <c r="A400" s="1" t="s">
        <v>18</v>
      </c>
      <c r="B400" s="1" t="s">
        <v>19</v>
      </c>
      <c r="C400" s="1" t="s">
        <v>1244</v>
      </c>
      <c r="D400" s="1" t="s">
        <v>695</v>
      </c>
      <c r="E400" s="1" t="s">
        <v>21</v>
      </c>
      <c r="F400" s="1" t="s">
        <v>106</v>
      </c>
      <c r="G400" s="1" t="s">
        <v>23</v>
      </c>
      <c r="H400" s="1" t="s">
        <v>53</v>
      </c>
      <c r="I400" s="1" t="s">
        <v>54</v>
      </c>
      <c r="J400">
        <v>1564</v>
      </c>
      <c r="K400" s="9">
        <v>1.2897575602E-3</v>
      </c>
      <c r="L400" s="9">
        <v>0.43937108651000001</v>
      </c>
      <c r="M400">
        <v>532795</v>
      </c>
      <c r="N400">
        <v>65457</v>
      </c>
      <c r="O400" s="9">
        <v>5.3979322646E-2</v>
      </c>
      <c r="P400" s="11">
        <f>Telengana_Reaults_2019[[#This Row],[BJP Votes]]-Telengana_Reaults_2019[[#This Row],[Max Votes Other than BJP]]</f>
        <v>-467338</v>
      </c>
      <c r="Q400" s="9">
        <f>Telengana_Reaults_2019[[#This Row],[BJP Vote Share]]-Telengana_Reaults_2019[[#This Row],[Max Votes Share other than BJP]]</f>
        <v>-0.38539176386399998</v>
      </c>
      <c r="R400">
        <v>1212631</v>
      </c>
      <c r="S400">
        <v>1628033</v>
      </c>
      <c r="T400" s="10">
        <v>0.74484423842000003</v>
      </c>
      <c r="U400" s="1" t="s">
        <v>68</v>
      </c>
    </row>
    <row r="401" spans="1:21" x14ac:dyDescent="0.35">
      <c r="A401" s="1" t="s">
        <v>18</v>
      </c>
      <c r="B401" s="1" t="s">
        <v>19</v>
      </c>
      <c r="C401" s="1" t="s">
        <v>1244</v>
      </c>
      <c r="D401" s="1" t="s">
        <v>696</v>
      </c>
      <c r="E401" s="1" t="s">
        <v>21</v>
      </c>
      <c r="F401" s="1" t="s">
        <v>125</v>
      </c>
      <c r="G401" s="1" t="s">
        <v>112</v>
      </c>
      <c r="H401" s="1" t="s">
        <v>53</v>
      </c>
      <c r="I401" s="1" t="s">
        <v>110</v>
      </c>
      <c r="J401">
        <v>4036</v>
      </c>
      <c r="K401" s="9">
        <v>3.3283002001000001E-3</v>
      </c>
      <c r="L401" s="9">
        <v>0.43937108651000001</v>
      </c>
      <c r="M401">
        <v>532795</v>
      </c>
      <c r="N401">
        <v>65457</v>
      </c>
      <c r="O401" s="9">
        <v>5.3979322646E-2</v>
      </c>
      <c r="P401" s="11">
        <f>Telengana_Reaults_2019[[#This Row],[BJP Votes]]-Telengana_Reaults_2019[[#This Row],[Max Votes Other than BJP]]</f>
        <v>-467338</v>
      </c>
      <c r="Q401" s="9">
        <f>Telengana_Reaults_2019[[#This Row],[BJP Vote Share]]-Telengana_Reaults_2019[[#This Row],[Max Votes Share other than BJP]]</f>
        <v>-0.38539176386399998</v>
      </c>
      <c r="R401">
        <v>1212631</v>
      </c>
      <c r="S401">
        <v>1628033</v>
      </c>
      <c r="T401" s="10">
        <v>0.74484423842000003</v>
      </c>
      <c r="U401" s="1" t="s">
        <v>68</v>
      </c>
    </row>
    <row r="402" spans="1:21" x14ac:dyDescent="0.35">
      <c r="A402" s="1" t="s">
        <v>18</v>
      </c>
      <c r="B402" s="1" t="s">
        <v>19</v>
      </c>
      <c r="C402" s="1" t="s">
        <v>1244</v>
      </c>
      <c r="D402" s="1" t="s">
        <v>697</v>
      </c>
      <c r="E402" s="1" t="s">
        <v>21</v>
      </c>
      <c r="F402" s="1" t="s">
        <v>176</v>
      </c>
      <c r="G402" s="1" t="s">
        <v>112</v>
      </c>
      <c r="H402" s="1" t="s">
        <v>53</v>
      </c>
      <c r="I402" s="1" t="s">
        <v>483</v>
      </c>
      <c r="J402">
        <v>1960</v>
      </c>
      <c r="K402" s="9">
        <v>1.6163202161E-3</v>
      </c>
      <c r="L402" s="9">
        <v>0.43937108651000001</v>
      </c>
      <c r="M402">
        <v>532795</v>
      </c>
      <c r="N402">
        <v>65457</v>
      </c>
      <c r="O402" s="9">
        <v>5.3979322646E-2</v>
      </c>
      <c r="P402" s="11">
        <f>Telengana_Reaults_2019[[#This Row],[BJP Votes]]-Telengana_Reaults_2019[[#This Row],[Max Votes Other than BJP]]</f>
        <v>-467338</v>
      </c>
      <c r="Q402" s="9">
        <f>Telengana_Reaults_2019[[#This Row],[BJP Vote Share]]-Telengana_Reaults_2019[[#This Row],[Max Votes Share other than BJP]]</f>
        <v>-0.38539176386399998</v>
      </c>
      <c r="R402">
        <v>1212631</v>
      </c>
      <c r="S402">
        <v>1628033</v>
      </c>
      <c r="T402" s="10">
        <v>0.74484423842000003</v>
      </c>
      <c r="U402" s="1" t="s">
        <v>68</v>
      </c>
    </row>
    <row r="403" spans="1:21" x14ac:dyDescent="0.35">
      <c r="A403" s="1" t="s">
        <v>18</v>
      </c>
      <c r="B403" s="1" t="s">
        <v>19</v>
      </c>
      <c r="C403" s="1" t="s">
        <v>1244</v>
      </c>
      <c r="D403" s="1" t="s">
        <v>698</v>
      </c>
      <c r="E403" s="1" t="s">
        <v>21</v>
      </c>
      <c r="F403" s="1" t="s">
        <v>115</v>
      </c>
      <c r="G403" s="1" t="s">
        <v>67</v>
      </c>
      <c r="H403" s="1" t="s">
        <v>53</v>
      </c>
      <c r="I403" s="1" t="s">
        <v>63</v>
      </c>
      <c r="J403">
        <v>3068</v>
      </c>
      <c r="K403" s="9">
        <v>2.5300359301E-3</v>
      </c>
      <c r="L403" s="9">
        <v>0.43937108651000001</v>
      </c>
      <c r="M403">
        <v>532795</v>
      </c>
      <c r="N403">
        <v>65457</v>
      </c>
      <c r="O403" s="9">
        <v>5.3979322646E-2</v>
      </c>
      <c r="P403" s="11">
        <f>Telengana_Reaults_2019[[#This Row],[BJP Votes]]-Telengana_Reaults_2019[[#This Row],[Max Votes Other than BJP]]</f>
        <v>-467338</v>
      </c>
      <c r="Q403" s="9">
        <f>Telengana_Reaults_2019[[#This Row],[BJP Vote Share]]-Telengana_Reaults_2019[[#This Row],[Max Votes Share other than BJP]]</f>
        <v>-0.38539176386399998</v>
      </c>
      <c r="R403">
        <v>1212631</v>
      </c>
      <c r="S403">
        <v>1628033</v>
      </c>
      <c r="T403" s="10">
        <v>0.74484423842000003</v>
      </c>
      <c r="U403" s="1" t="s">
        <v>68</v>
      </c>
    </row>
    <row r="404" spans="1:21" x14ac:dyDescent="0.35">
      <c r="A404" s="1" t="s">
        <v>18</v>
      </c>
      <c r="B404" s="1" t="s">
        <v>19</v>
      </c>
      <c r="C404" s="1" t="s">
        <v>1244</v>
      </c>
      <c r="D404" s="1" t="s">
        <v>699</v>
      </c>
      <c r="E404" s="1" t="s">
        <v>21</v>
      </c>
      <c r="F404" s="1" t="s">
        <v>183</v>
      </c>
      <c r="G404" s="1" t="s">
        <v>67</v>
      </c>
      <c r="H404" s="1" t="s">
        <v>53</v>
      </c>
      <c r="I404" s="1" t="s">
        <v>102</v>
      </c>
      <c r="J404">
        <v>27973</v>
      </c>
      <c r="K404" s="9">
        <v>2.3068023165999998E-2</v>
      </c>
      <c r="L404" s="9">
        <v>0.43937108651000001</v>
      </c>
      <c r="M404">
        <v>532795</v>
      </c>
      <c r="N404">
        <v>65457</v>
      </c>
      <c r="O404" s="9">
        <v>5.3979322646E-2</v>
      </c>
      <c r="P404" s="11">
        <f>Telengana_Reaults_2019[[#This Row],[BJP Votes]]-Telengana_Reaults_2019[[#This Row],[Max Votes Other than BJP]]</f>
        <v>-467338</v>
      </c>
      <c r="Q404" s="9">
        <f>Telengana_Reaults_2019[[#This Row],[BJP Vote Share]]-Telengana_Reaults_2019[[#This Row],[Max Votes Share other than BJP]]</f>
        <v>-0.38539176386399998</v>
      </c>
      <c r="R404">
        <v>1212631</v>
      </c>
      <c r="S404">
        <v>1628033</v>
      </c>
      <c r="T404" s="10">
        <v>0.74484423842000003</v>
      </c>
      <c r="U404" s="1" t="s">
        <v>68</v>
      </c>
    </row>
    <row r="405" spans="1:21" x14ac:dyDescent="0.35">
      <c r="A405" s="1" t="s">
        <v>18</v>
      </c>
      <c r="B405" s="1" t="s">
        <v>19</v>
      </c>
      <c r="C405" s="1" t="s">
        <v>1244</v>
      </c>
      <c r="D405" s="1" t="s">
        <v>700</v>
      </c>
      <c r="E405" s="1" t="s">
        <v>21</v>
      </c>
      <c r="F405" s="1" t="s">
        <v>62</v>
      </c>
      <c r="G405" s="1" t="s">
        <v>112</v>
      </c>
      <c r="H405" s="1" t="s">
        <v>53</v>
      </c>
      <c r="I405" s="1" t="s">
        <v>270</v>
      </c>
      <c r="J405">
        <v>3806</v>
      </c>
      <c r="K405" s="9">
        <v>3.1386299707E-3</v>
      </c>
      <c r="L405" s="9">
        <v>0.43937108651000001</v>
      </c>
      <c r="M405">
        <v>532795</v>
      </c>
      <c r="N405">
        <v>65457</v>
      </c>
      <c r="O405" s="9">
        <v>5.3979322646E-2</v>
      </c>
      <c r="P405" s="11">
        <f>Telengana_Reaults_2019[[#This Row],[BJP Votes]]-Telengana_Reaults_2019[[#This Row],[Max Votes Other than BJP]]</f>
        <v>-467338</v>
      </c>
      <c r="Q405" s="9">
        <f>Telengana_Reaults_2019[[#This Row],[BJP Vote Share]]-Telengana_Reaults_2019[[#This Row],[Max Votes Share other than BJP]]</f>
        <v>-0.38539176386399998</v>
      </c>
      <c r="R405">
        <v>1212631</v>
      </c>
      <c r="S405">
        <v>1628033</v>
      </c>
      <c r="T405" s="10">
        <v>0.74484423842000003</v>
      </c>
      <c r="U405" s="1" t="s">
        <v>68</v>
      </c>
    </row>
    <row r="406" spans="1:21" x14ac:dyDescent="0.35">
      <c r="A406" s="1" t="s">
        <v>18</v>
      </c>
      <c r="B406" s="1" t="s">
        <v>19</v>
      </c>
      <c r="C406" s="1" t="s">
        <v>1244</v>
      </c>
      <c r="D406" s="1" t="s">
        <v>64</v>
      </c>
      <c r="E406" s="1" t="s">
        <v>64</v>
      </c>
      <c r="F406" s="1" t="s">
        <v>64</v>
      </c>
      <c r="G406" s="1" t="s">
        <v>64</v>
      </c>
      <c r="H406" s="1" t="s">
        <v>64</v>
      </c>
      <c r="I406" s="1" t="s">
        <v>64</v>
      </c>
      <c r="J406">
        <v>12021</v>
      </c>
      <c r="K406" s="9">
        <v>9.9131557745000005E-3</v>
      </c>
      <c r="L406" s="9">
        <v>0.43937108651000001</v>
      </c>
      <c r="M406">
        <v>532795</v>
      </c>
      <c r="N406">
        <v>65457</v>
      </c>
      <c r="O406" s="9">
        <v>5.3979322646E-2</v>
      </c>
      <c r="P406" s="11">
        <f>Telengana_Reaults_2019[[#This Row],[BJP Votes]]-Telengana_Reaults_2019[[#This Row],[Max Votes Other than BJP]]</f>
        <v>-467338</v>
      </c>
      <c r="Q406" s="9">
        <f>Telengana_Reaults_2019[[#This Row],[BJP Vote Share]]-Telengana_Reaults_2019[[#This Row],[Max Votes Share other than BJP]]</f>
        <v>-0.38539176386399998</v>
      </c>
      <c r="R406">
        <v>1212631</v>
      </c>
      <c r="S406">
        <v>1628033</v>
      </c>
      <c r="T406" s="10">
        <v>0.74484423842000003</v>
      </c>
      <c r="U406" s="1" t="s">
        <v>68</v>
      </c>
    </row>
    <row r="407" spans="1:21" x14ac:dyDescent="0.35">
      <c r="A407" s="1" t="s">
        <v>18</v>
      </c>
      <c r="B407" s="1" t="s">
        <v>19</v>
      </c>
      <c r="C407" s="1" t="s">
        <v>701</v>
      </c>
      <c r="D407" s="1" t="s">
        <v>702</v>
      </c>
      <c r="E407" s="1" t="s">
        <v>21</v>
      </c>
      <c r="F407" s="1" t="s">
        <v>703</v>
      </c>
      <c r="G407" s="1" t="s">
        <v>67</v>
      </c>
      <c r="H407" s="1" t="s">
        <v>32</v>
      </c>
      <c r="I407" s="1" t="s">
        <v>33</v>
      </c>
      <c r="J407">
        <v>83777</v>
      </c>
      <c r="K407" s="9">
        <v>7.8912442483E-2</v>
      </c>
      <c r="L407" s="9">
        <v>0.57693296722999998</v>
      </c>
      <c r="M407">
        <v>612498</v>
      </c>
      <c r="N407">
        <v>83777</v>
      </c>
      <c r="O407" s="9">
        <v>7.8912442483E-2</v>
      </c>
      <c r="P407" s="11">
        <f>Telengana_Reaults_2019[[#This Row],[BJP Votes]]-Telengana_Reaults_2019[[#This Row],[Max Votes Other than BJP]]</f>
        <v>-528721</v>
      </c>
      <c r="Q407" s="9">
        <f>Telengana_Reaults_2019[[#This Row],[BJP Vote Share]]-Telengana_Reaults_2019[[#This Row],[Max Votes Share other than BJP]]</f>
        <v>-0.49802052474699998</v>
      </c>
      <c r="R407">
        <v>1061645</v>
      </c>
      <c r="S407">
        <v>1666770</v>
      </c>
      <c r="T407" s="10">
        <v>0.63694750924999999</v>
      </c>
      <c r="U407" s="1" t="s">
        <v>68</v>
      </c>
    </row>
    <row r="408" spans="1:21" x14ac:dyDescent="0.35">
      <c r="A408" s="1" t="s">
        <v>18</v>
      </c>
      <c r="B408" s="1" t="s">
        <v>19</v>
      </c>
      <c r="C408" s="1" t="s">
        <v>701</v>
      </c>
      <c r="D408" s="1" t="s">
        <v>704</v>
      </c>
      <c r="E408" s="1" t="s">
        <v>21</v>
      </c>
      <c r="F408" s="1" t="s">
        <v>160</v>
      </c>
      <c r="G408" s="1" t="s">
        <v>67</v>
      </c>
      <c r="H408" s="1" t="s">
        <v>24</v>
      </c>
      <c r="I408" s="1" t="s">
        <v>25</v>
      </c>
      <c r="J408">
        <v>612498</v>
      </c>
      <c r="K408" s="9">
        <v>0.57693296722999998</v>
      </c>
      <c r="L408" s="9">
        <v>0.57693296722999998</v>
      </c>
      <c r="M408">
        <v>612498</v>
      </c>
      <c r="N408">
        <v>83777</v>
      </c>
      <c r="O408" s="9">
        <v>7.8912442483E-2</v>
      </c>
      <c r="P408" s="11">
        <f>Telengana_Reaults_2019[[#This Row],[BJP Votes]]-Telengana_Reaults_2019[[#This Row],[Max Votes Other than BJP]]</f>
        <v>-528721</v>
      </c>
      <c r="Q408" s="9">
        <f>Telengana_Reaults_2019[[#This Row],[BJP Vote Share]]-Telengana_Reaults_2019[[#This Row],[Max Votes Share other than BJP]]</f>
        <v>-0.49802052474699998</v>
      </c>
      <c r="R408">
        <v>1061645</v>
      </c>
      <c r="S408">
        <v>1666770</v>
      </c>
      <c r="T408" s="10">
        <v>0.63694750924999999</v>
      </c>
      <c r="U408" s="1" t="s">
        <v>68</v>
      </c>
    </row>
    <row r="409" spans="1:21" x14ac:dyDescent="0.35">
      <c r="A409" s="1" t="s">
        <v>18</v>
      </c>
      <c r="B409" s="1" t="s">
        <v>19</v>
      </c>
      <c r="C409" s="1" t="s">
        <v>701</v>
      </c>
      <c r="D409" s="1" t="s">
        <v>705</v>
      </c>
      <c r="E409" s="1" t="s">
        <v>21</v>
      </c>
      <c r="F409" s="1" t="s">
        <v>91</v>
      </c>
      <c r="G409" s="1" t="s">
        <v>67</v>
      </c>
      <c r="H409" s="1" t="s">
        <v>29</v>
      </c>
      <c r="I409" s="1" t="s">
        <v>30</v>
      </c>
      <c r="J409">
        <v>262200</v>
      </c>
      <c r="K409" s="9">
        <v>0.24697521299</v>
      </c>
      <c r="L409" s="9">
        <v>0.57693296722999998</v>
      </c>
      <c r="M409">
        <v>612498</v>
      </c>
      <c r="N409">
        <v>83777</v>
      </c>
      <c r="O409" s="9">
        <v>7.8912442483E-2</v>
      </c>
      <c r="P409" s="11">
        <f>Telengana_Reaults_2019[[#This Row],[BJP Votes]]-Telengana_Reaults_2019[[#This Row],[Max Votes Other than BJP]]</f>
        <v>-528721</v>
      </c>
      <c r="Q409" s="9">
        <f>Telengana_Reaults_2019[[#This Row],[BJP Vote Share]]-Telengana_Reaults_2019[[#This Row],[Max Votes Share other than BJP]]</f>
        <v>-0.49802052474699998</v>
      </c>
      <c r="R409">
        <v>1061645</v>
      </c>
      <c r="S409">
        <v>1666770</v>
      </c>
      <c r="T409" s="10">
        <v>0.63694750924999999</v>
      </c>
      <c r="U409" s="1" t="s">
        <v>68</v>
      </c>
    </row>
    <row r="410" spans="1:21" x14ac:dyDescent="0.35">
      <c r="A410" s="1" t="s">
        <v>18</v>
      </c>
      <c r="B410" s="1" t="s">
        <v>19</v>
      </c>
      <c r="C410" s="1" t="s">
        <v>701</v>
      </c>
      <c r="D410" s="1" t="s">
        <v>706</v>
      </c>
      <c r="E410" s="1" t="s">
        <v>21</v>
      </c>
      <c r="F410" s="1" t="s">
        <v>66</v>
      </c>
      <c r="G410" s="1" t="s">
        <v>67</v>
      </c>
      <c r="H410" s="1" t="s">
        <v>72</v>
      </c>
      <c r="I410" s="1" t="s">
        <v>73</v>
      </c>
      <c r="J410">
        <v>8193</v>
      </c>
      <c r="K410" s="9">
        <v>7.7172689552999999E-3</v>
      </c>
      <c r="L410" s="9">
        <v>0.57693296722999998</v>
      </c>
      <c r="M410">
        <v>612498</v>
      </c>
      <c r="N410">
        <v>83777</v>
      </c>
      <c r="O410" s="9">
        <v>7.8912442483E-2</v>
      </c>
      <c r="P410" s="11">
        <f>Telengana_Reaults_2019[[#This Row],[BJP Votes]]-Telengana_Reaults_2019[[#This Row],[Max Votes Other than BJP]]</f>
        <v>-528721</v>
      </c>
      <c r="Q410" s="9">
        <f>Telengana_Reaults_2019[[#This Row],[BJP Vote Share]]-Telengana_Reaults_2019[[#This Row],[Max Votes Share other than BJP]]</f>
        <v>-0.49802052474699998</v>
      </c>
      <c r="R410">
        <v>1061645</v>
      </c>
      <c r="S410">
        <v>1666770</v>
      </c>
      <c r="T410" s="10">
        <v>0.63694750924999999</v>
      </c>
      <c r="U410" s="1" t="s">
        <v>68</v>
      </c>
    </row>
    <row r="411" spans="1:21" x14ac:dyDescent="0.35">
      <c r="A411" s="1" t="s">
        <v>18</v>
      </c>
      <c r="B411" s="1" t="s">
        <v>19</v>
      </c>
      <c r="C411" s="1" t="s">
        <v>701</v>
      </c>
      <c r="D411" s="1" t="s">
        <v>707</v>
      </c>
      <c r="E411" s="1" t="s">
        <v>21</v>
      </c>
      <c r="F411" s="1" t="s">
        <v>75</v>
      </c>
      <c r="G411" s="1" t="s">
        <v>67</v>
      </c>
      <c r="H411" s="1" t="s">
        <v>92</v>
      </c>
      <c r="I411" s="1" t="s">
        <v>93</v>
      </c>
      <c r="J411">
        <v>5386</v>
      </c>
      <c r="K411" s="9">
        <v>5.0732589519000004E-3</v>
      </c>
      <c r="L411" s="9">
        <v>0.57693296722999998</v>
      </c>
      <c r="M411">
        <v>612498</v>
      </c>
      <c r="N411">
        <v>83777</v>
      </c>
      <c r="O411" s="9">
        <v>7.8912442483E-2</v>
      </c>
      <c r="P411" s="11">
        <f>Telengana_Reaults_2019[[#This Row],[BJP Votes]]-Telengana_Reaults_2019[[#This Row],[Max Votes Other than BJP]]</f>
        <v>-528721</v>
      </c>
      <c r="Q411" s="9">
        <f>Telengana_Reaults_2019[[#This Row],[BJP Vote Share]]-Telengana_Reaults_2019[[#This Row],[Max Votes Share other than BJP]]</f>
        <v>-0.49802052474699998</v>
      </c>
      <c r="R411">
        <v>1061645</v>
      </c>
      <c r="S411">
        <v>1666770</v>
      </c>
      <c r="T411" s="10">
        <v>0.63694750924999999</v>
      </c>
      <c r="U411" s="1" t="s">
        <v>68</v>
      </c>
    </row>
    <row r="412" spans="1:21" x14ac:dyDescent="0.35">
      <c r="A412" s="1" t="s">
        <v>18</v>
      </c>
      <c r="B412" s="1" t="s">
        <v>19</v>
      </c>
      <c r="C412" s="1" t="s">
        <v>701</v>
      </c>
      <c r="D412" s="1" t="s">
        <v>708</v>
      </c>
      <c r="E412" s="1" t="s">
        <v>35</v>
      </c>
      <c r="F412" s="1" t="s">
        <v>62</v>
      </c>
      <c r="G412" s="1" t="s">
        <v>67</v>
      </c>
      <c r="H412" s="1" t="s">
        <v>77</v>
      </c>
      <c r="I412" s="1" t="s">
        <v>78</v>
      </c>
      <c r="J412">
        <v>1986</v>
      </c>
      <c r="K412" s="9">
        <v>1.8706818192999999E-3</v>
      </c>
      <c r="L412" s="9">
        <v>0.57693296722999998</v>
      </c>
      <c r="M412">
        <v>612498</v>
      </c>
      <c r="N412">
        <v>83777</v>
      </c>
      <c r="O412" s="9">
        <v>7.8912442483E-2</v>
      </c>
      <c r="P412" s="11">
        <f>Telengana_Reaults_2019[[#This Row],[BJP Votes]]-Telengana_Reaults_2019[[#This Row],[Max Votes Other than BJP]]</f>
        <v>-528721</v>
      </c>
      <c r="Q412" s="9">
        <f>Telengana_Reaults_2019[[#This Row],[BJP Vote Share]]-Telengana_Reaults_2019[[#This Row],[Max Votes Share other than BJP]]</f>
        <v>-0.49802052474699998</v>
      </c>
      <c r="R412">
        <v>1061645</v>
      </c>
      <c r="S412">
        <v>1666770</v>
      </c>
      <c r="T412" s="10">
        <v>0.63694750924999999</v>
      </c>
      <c r="U412" s="1" t="s">
        <v>68</v>
      </c>
    </row>
    <row r="413" spans="1:21" x14ac:dyDescent="0.35">
      <c r="A413" s="1" t="s">
        <v>18</v>
      </c>
      <c r="B413" s="1" t="s">
        <v>19</v>
      </c>
      <c r="C413" s="1" t="s">
        <v>701</v>
      </c>
      <c r="D413" s="1" t="s">
        <v>709</v>
      </c>
      <c r="E413" s="1" t="s">
        <v>35</v>
      </c>
      <c r="F413" s="1" t="s">
        <v>120</v>
      </c>
      <c r="G413" s="1" t="s">
        <v>67</v>
      </c>
      <c r="H413" s="1" t="s">
        <v>710</v>
      </c>
      <c r="I413" s="1" t="s">
        <v>218</v>
      </c>
      <c r="J413">
        <v>29183</v>
      </c>
      <c r="K413" s="9">
        <v>2.7488473077E-2</v>
      </c>
      <c r="L413" s="9">
        <v>0.57693296722999998</v>
      </c>
      <c r="M413">
        <v>612498</v>
      </c>
      <c r="N413">
        <v>83777</v>
      </c>
      <c r="O413" s="9">
        <v>7.8912442483E-2</v>
      </c>
      <c r="P413" s="11">
        <f>Telengana_Reaults_2019[[#This Row],[BJP Votes]]-Telengana_Reaults_2019[[#This Row],[Max Votes Other than BJP]]</f>
        <v>-528721</v>
      </c>
      <c r="Q413" s="9">
        <f>Telengana_Reaults_2019[[#This Row],[BJP Vote Share]]-Telengana_Reaults_2019[[#This Row],[Max Votes Share other than BJP]]</f>
        <v>-0.49802052474699998</v>
      </c>
      <c r="R413">
        <v>1061645</v>
      </c>
      <c r="S413">
        <v>1666770</v>
      </c>
      <c r="T413" s="10">
        <v>0.63694750924999999</v>
      </c>
      <c r="U413" s="1" t="s">
        <v>68</v>
      </c>
    </row>
    <row r="414" spans="1:21" x14ac:dyDescent="0.35">
      <c r="A414" s="1" t="s">
        <v>18</v>
      </c>
      <c r="B414" s="1" t="s">
        <v>19</v>
      </c>
      <c r="C414" s="1" t="s">
        <v>701</v>
      </c>
      <c r="D414" s="1" t="s">
        <v>711</v>
      </c>
      <c r="E414" s="1" t="s">
        <v>21</v>
      </c>
      <c r="F414" s="1" t="s">
        <v>120</v>
      </c>
      <c r="G414" s="1" t="s">
        <v>67</v>
      </c>
      <c r="H414" s="1" t="s">
        <v>712</v>
      </c>
      <c r="I414" s="1" t="s">
        <v>281</v>
      </c>
      <c r="J414">
        <v>1895</v>
      </c>
      <c r="K414" s="9">
        <v>1.7849657842E-3</v>
      </c>
      <c r="L414" s="9">
        <v>0.57693296722999998</v>
      </c>
      <c r="M414">
        <v>612498</v>
      </c>
      <c r="N414">
        <v>83777</v>
      </c>
      <c r="O414" s="9">
        <v>7.8912442483E-2</v>
      </c>
      <c r="P414" s="11">
        <f>Telengana_Reaults_2019[[#This Row],[BJP Votes]]-Telengana_Reaults_2019[[#This Row],[Max Votes Other than BJP]]</f>
        <v>-528721</v>
      </c>
      <c r="Q414" s="9">
        <f>Telengana_Reaults_2019[[#This Row],[BJP Vote Share]]-Telengana_Reaults_2019[[#This Row],[Max Votes Share other than BJP]]</f>
        <v>-0.49802052474699998</v>
      </c>
      <c r="R414">
        <v>1061645</v>
      </c>
      <c r="S414">
        <v>1666770</v>
      </c>
      <c r="T414" s="10">
        <v>0.63694750924999999</v>
      </c>
      <c r="U414" s="1" t="s">
        <v>68</v>
      </c>
    </row>
    <row r="415" spans="1:21" x14ac:dyDescent="0.35">
      <c r="A415" s="1" t="s">
        <v>18</v>
      </c>
      <c r="B415" s="1" t="s">
        <v>19</v>
      </c>
      <c r="C415" s="1" t="s">
        <v>701</v>
      </c>
      <c r="D415" s="1" t="s">
        <v>713</v>
      </c>
      <c r="E415" s="1" t="s">
        <v>21</v>
      </c>
      <c r="F415" s="1" t="s">
        <v>62</v>
      </c>
      <c r="G415" s="1" t="s">
        <v>67</v>
      </c>
      <c r="H415" s="1" t="s">
        <v>126</v>
      </c>
      <c r="I415" s="1" t="s">
        <v>127</v>
      </c>
      <c r="J415">
        <v>1324</v>
      </c>
      <c r="K415" s="9">
        <v>1.2471212128E-3</v>
      </c>
      <c r="L415" s="9">
        <v>0.57693296722999998</v>
      </c>
      <c r="M415">
        <v>612498</v>
      </c>
      <c r="N415">
        <v>83777</v>
      </c>
      <c r="O415" s="9">
        <v>7.8912442483E-2</v>
      </c>
      <c r="P415" s="11">
        <f>Telengana_Reaults_2019[[#This Row],[BJP Votes]]-Telengana_Reaults_2019[[#This Row],[Max Votes Other than BJP]]</f>
        <v>-528721</v>
      </c>
      <c r="Q415" s="9">
        <f>Telengana_Reaults_2019[[#This Row],[BJP Vote Share]]-Telengana_Reaults_2019[[#This Row],[Max Votes Share other than BJP]]</f>
        <v>-0.49802052474699998</v>
      </c>
      <c r="R415">
        <v>1061645</v>
      </c>
      <c r="S415">
        <v>1666770</v>
      </c>
      <c r="T415" s="10">
        <v>0.63694750924999999</v>
      </c>
      <c r="U415" s="1" t="s">
        <v>68</v>
      </c>
    </row>
    <row r="416" spans="1:21" x14ac:dyDescent="0.35">
      <c r="A416" s="1" t="s">
        <v>18</v>
      </c>
      <c r="B416" s="1" t="s">
        <v>19</v>
      </c>
      <c r="C416" s="1" t="s">
        <v>701</v>
      </c>
      <c r="D416" s="1" t="s">
        <v>714</v>
      </c>
      <c r="E416" s="1" t="s">
        <v>21</v>
      </c>
      <c r="F416" s="1" t="s">
        <v>36</v>
      </c>
      <c r="G416" s="1" t="s">
        <v>23</v>
      </c>
      <c r="H416" s="1" t="s">
        <v>53</v>
      </c>
      <c r="I416" s="1" t="s">
        <v>63</v>
      </c>
      <c r="J416">
        <v>2093</v>
      </c>
      <c r="K416" s="9">
        <v>1.9714688055000001E-3</v>
      </c>
      <c r="L416" s="9">
        <v>0.57693296722999998</v>
      </c>
      <c r="M416">
        <v>612498</v>
      </c>
      <c r="N416">
        <v>83777</v>
      </c>
      <c r="O416" s="9">
        <v>7.8912442483E-2</v>
      </c>
      <c r="P416" s="11">
        <f>Telengana_Reaults_2019[[#This Row],[BJP Votes]]-Telengana_Reaults_2019[[#This Row],[Max Votes Other than BJP]]</f>
        <v>-528721</v>
      </c>
      <c r="Q416" s="9">
        <f>Telengana_Reaults_2019[[#This Row],[BJP Vote Share]]-Telengana_Reaults_2019[[#This Row],[Max Votes Share other than BJP]]</f>
        <v>-0.49802052474699998</v>
      </c>
      <c r="R416">
        <v>1061645</v>
      </c>
      <c r="S416">
        <v>1666770</v>
      </c>
      <c r="T416" s="10">
        <v>0.63694750924999999</v>
      </c>
      <c r="U416" s="1" t="s">
        <v>68</v>
      </c>
    </row>
    <row r="417" spans="1:21" x14ac:dyDescent="0.35">
      <c r="A417" s="1" t="s">
        <v>18</v>
      </c>
      <c r="B417" s="1" t="s">
        <v>19</v>
      </c>
      <c r="C417" s="1" t="s">
        <v>701</v>
      </c>
      <c r="D417" s="1" t="s">
        <v>715</v>
      </c>
      <c r="E417" s="1" t="s">
        <v>21</v>
      </c>
      <c r="F417" s="1" t="s">
        <v>165</v>
      </c>
      <c r="G417" s="1" t="s">
        <v>67</v>
      </c>
      <c r="H417" s="1" t="s">
        <v>53</v>
      </c>
      <c r="I417" s="1" t="s">
        <v>102</v>
      </c>
      <c r="J417">
        <v>14033</v>
      </c>
      <c r="K417" s="9">
        <v>1.3218166147999999E-2</v>
      </c>
      <c r="L417" s="9">
        <v>0.57693296722999998</v>
      </c>
      <c r="M417">
        <v>612498</v>
      </c>
      <c r="N417">
        <v>83777</v>
      </c>
      <c r="O417" s="9">
        <v>7.8912442483E-2</v>
      </c>
      <c r="P417" s="11">
        <f>Telengana_Reaults_2019[[#This Row],[BJP Votes]]-Telengana_Reaults_2019[[#This Row],[Max Votes Other than BJP]]</f>
        <v>-528721</v>
      </c>
      <c r="Q417" s="9">
        <f>Telengana_Reaults_2019[[#This Row],[BJP Vote Share]]-Telengana_Reaults_2019[[#This Row],[Max Votes Share other than BJP]]</f>
        <v>-0.49802052474699998</v>
      </c>
      <c r="R417">
        <v>1061645</v>
      </c>
      <c r="S417">
        <v>1666770</v>
      </c>
      <c r="T417" s="10">
        <v>0.63694750924999999</v>
      </c>
      <c r="U417" s="1" t="s">
        <v>68</v>
      </c>
    </row>
    <row r="418" spans="1:21" x14ac:dyDescent="0.35">
      <c r="A418" s="1" t="s">
        <v>18</v>
      </c>
      <c r="B418" s="1" t="s">
        <v>19</v>
      </c>
      <c r="C418" s="1" t="s">
        <v>701</v>
      </c>
      <c r="D418" s="1" t="s">
        <v>716</v>
      </c>
      <c r="E418" s="1" t="s">
        <v>21</v>
      </c>
      <c r="F418" s="1" t="s">
        <v>200</v>
      </c>
      <c r="G418" s="1" t="s">
        <v>67</v>
      </c>
      <c r="H418" s="1" t="s">
        <v>53</v>
      </c>
      <c r="I418" s="1" t="s">
        <v>284</v>
      </c>
      <c r="J418">
        <v>6096</v>
      </c>
      <c r="K418" s="9">
        <v>5.7420324120000003E-3</v>
      </c>
      <c r="L418" s="9">
        <v>0.57693296722999998</v>
      </c>
      <c r="M418">
        <v>612498</v>
      </c>
      <c r="N418">
        <v>83777</v>
      </c>
      <c r="O418" s="9">
        <v>7.8912442483E-2</v>
      </c>
      <c r="P418" s="11">
        <f>Telengana_Reaults_2019[[#This Row],[BJP Votes]]-Telengana_Reaults_2019[[#This Row],[Max Votes Other than BJP]]</f>
        <v>-528721</v>
      </c>
      <c r="Q418" s="9">
        <f>Telengana_Reaults_2019[[#This Row],[BJP Vote Share]]-Telengana_Reaults_2019[[#This Row],[Max Votes Share other than BJP]]</f>
        <v>-0.49802052474699998</v>
      </c>
      <c r="R418">
        <v>1061645</v>
      </c>
      <c r="S418">
        <v>1666770</v>
      </c>
      <c r="T418" s="10">
        <v>0.63694750924999999</v>
      </c>
      <c r="U418" s="1" t="s">
        <v>68</v>
      </c>
    </row>
    <row r="419" spans="1:21" x14ac:dyDescent="0.35">
      <c r="A419" s="1" t="s">
        <v>18</v>
      </c>
      <c r="B419" s="1" t="s">
        <v>19</v>
      </c>
      <c r="C419" s="1" t="s">
        <v>701</v>
      </c>
      <c r="D419" s="1" t="s">
        <v>717</v>
      </c>
      <c r="E419" s="1" t="s">
        <v>21</v>
      </c>
      <c r="F419" s="1" t="s">
        <v>117</v>
      </c>
      <c r="G419" s="1" t="s">
        <v>67</v>
      </c>
      <c r="H419" s="1" t="s">
        <v>53</v>
      </c>
      <c r="I419" s="1" t="s">
        <v>38</v>
      </c>
      <c r="J419">
        <v>6112</v>
      </c>
      <c r="K419" s="9">
        <v>5.7571033632E-3</v>
      </c>
      <c r="L419" s="9">
        <v>0.57693296722999998</v>
      </c>
      <c r="M419">
        <v>612498</v>
      </c>
      <c r="N419">
        <v>83777</v>
      </c>
      <c r="O419" s="9">
        <v>7.8912442483E-2</v>
      </c>
      <c r="P419" s="11">
        <f>Telengana_Reaults_2019[[#This Row],[BJP Votes]]-Telengana_Reaults_2019[[#This Row],[Max Votes Other than BJP]]</f>
        <v>-528721</v>
      </c>
      <c r="Q419" s="9">
        <f>Telengana_Reaults_2019[[#This Row],[BJP Vote Share]]-Telengana_Reaults_2019[[#This Row],[Max Votes Share other than BJP]]</f>
        <v>-0.49802052474699998</v>
      </c>
      <c r="R419">
        <v>1061645</v>
      </c>
      <c r="S419">
        <v>1666770</v>
      </c>
      <c r="T419" s="10">
        <v>0.63694750924999999</v>
      </c>
      <c r="U419" s="1" t="s">
        <v>68</v>
      </c>
    </row>
    <row r="420" spans="1:21" x14ac:dyDescent="0.35">
      <c r="A420" s="1" t="s">
        <v>18</v>
      </c>
      <c r="B420" s="1" t="s">
        <v>19</v>
      </c>
      <c r="C420" s="1" t="s">
        <v>701</v>
      </c>
      <c r="D420" s="1" t="s">
        <v>718</v>
      </c>
      <c r="E420" s="1" t="s">
        <v>21</v>
      </c>
      <c r="F420" s="1" t="s">
        <v>62</v>
      </c>
      <c r="G420" s="1" t="s">
        <v>67</v>
      </c>
      <c r="H420" s="1" t="s">
        <v>53</v>
      </c>
      <c r="I420" s="1" t="s">
        <v>57</v>
      </c>
      <c r="J420">
        <v>3812</v>
      </c>
      <c r="K420" s="9">
        <v>3.5906541263999998E-3</v>
      </c>
      <c r="L420" s="9">
        <v>0.57693296722999998</v>
      </c>
      <c r="M420">
        <v>612498</v>
      </c>
      <c r="N420">
        <v>83777</v>
      </c>
      <c r="O420" s="9">
        <v>7.8912442483E-2</v>
      </c>
      <c r="P420" s="11">
        <f>Telengana_Reaults_2019[[#This Row],[BJP Votes]]-Telengana_Reaults_2019[[#This Row],[Max Votes Other than BJP]]</f>
        <v>-528721</v>
      </c>
      <c r="Q420" s="9">
        <f>Telengana_Reaults_2019[[#This Row],[BJP Vote Share]]-Telengana_Reaults_2019[[#This Row],[Max Votes Share other than BJP]]</f>
        <v>-0.49802052474699998</v>
      </c>
      <c r="R420">
        <v>1061645</v>
      </c>
      <c r="S420">
        <v>1666770</v>
      </c>
      <c r="T420" s="10">
        <v>0.63694750924999999</v>
      </c>
      <c r="U420" s="1" t="s">
        <v>68</v>
      </c>
    </row>
    <row r="421" spans="1:21" x14ac:dyDescent="0.35">
      <c r="A421" s="1" t="s">
        <v>18</v>
      </c>
      <c r="B421" s="1" t="s">
        <v>19</v>
      </c>
      <c r="C421" s="1" t="s">
        <v>701</v>
      </c>
      <c r="D421" s="1" t="s">
        <v>719</v>
      </c>
      <c r="E421" s="1" t="s">
        <v>21</v>
      </c>
      <c r="F421" s="1" t="s">
        <v>205</v>
      </c>
      <c r="G421" s="1" t="s">
        <v>67</v>
      </c>
      <c r="H421" s="1" t="s">
        <v>53</v>
      </c>
      <c r="I421" s="1" t="s">
        <v>107</v>
      </c>
      <c r="J421">
        <v>4256</v>
      </c>
      <c r="K421" s="9">
        <v>4.0088730224999997E-3</v>
      </c>
      <c r="L421" s="9">
        <v>0.57693296722999998</v>
      </c>
      <c r="M421">
        <v>612498</v>
      </c>
      <c r="N421">
        <v>83777</v>
      </c>
      <c r="O421" s="9">
        <v>7.8912442483E-2</v>
      </c>
      <c r="P421" s="11">
        <f>Telengana_Reaults_2019[[#This Row],[BJP Votes]]-Telengana_Reaults_2019[[#This Row],[Max Votes Other than BJP]]</f>
        <v>-528721</v>
      </c>
      <c r="Q421" s="9">
        <f>Telengana_Reaults_2019[[#This Row],[BJP Vote Share]]-Telengana_Reaults_2019[[#This Row],[Max Votes Share other than BJP]]</f>
        <v>-0.49802052474699998</v>
      </c>
      <c r="R421">
        <v>1061645</v>
      </c>
      <c r="S421">
        <v>1666770</v>
      </c>
      <c r="T421" s="10">
        <v>0.63694750924999999</v>
      </c>
      <c r="U421" s="1" t="s">
        <v>68</v>
      </c>
    </row>
    <row r="422" spans="1:21" x14ac:dyDescent="0.35">
      <c r="A422" s="1" t="s">
        <v>18</v>
      </c>
      <c r="B422" s="1" t="s">
        <v>19</v>
      </c>
      <c r="C422" s="1" t="s">
        <v>701</v>
      </c>
      <c r="D422" s="1" t="s">
        <v>64</v>
      </c>
      <c r="E422" s="1" t="s">
        <v>64</v>
      </c>
      <c r="F422" s="1" t="s">
        <v>64</v>
      </c>
      <c r="G422" s="1" t="s">
        <v>64</v>
      </c>
      <c r="H422" s="1" t="s">
        <v>64</v>
      </c>
      <c r="I422" s="1" t="s">
        <v>64</v>
      </c>
      <c r="J422">
        <v>18801</v>
      </c>
      <c r="K422" s="9">
        <v>1.7709309608999999E-2</v>
      </c>
      <c r="L422" s="9">
        <v>0.57693296722999998</v>
      </c>
      <c r="M422">
        <v>612498</v>
      </c>
      <c r="N422">
        <v>83777</v>
      </c>
      <c r="O422" s="9">
        <v>7.8912442483E-2</v>
      </c>
      <c r="P422" s="11">
        <f>Telengana_Reaults_2019[[#This Row],[BJP Votes]]-Telengana_Reaults_2019[[#This Row],[Max Votes Other than BJP]]</f>
        <v>-528721</v>
      </c>
      <c r="Q422" s="9">
        <f>Telengana_Reaults_2019[[#This Row],[BJP Vote Share]]-Telengana_Reaults_2019[[#This Row],[Max Votes Share other than BJP]]</f>
        <v>-0.49802052474699998</v>
      </c>
      <c r="R422">
        <v>1061645</v>
      </c>
      <c r="S422">
        <v>1666770</v>
      </c>
      <c r="T422" s="10">
        <v>0.63694750924999999</v>
      </c>
      <c r="U422" s="1" t="s">
        <v>68</v>
      </c>
    </row>
    <row r="423" spans="1:21" x14ac:dyDescent="0.35">
      <c r="A423" s="1" t="s">
        <v>18</v>
      </c>
      <c r="B423" s="1" t="s">
        <v>19</v>
      </c>
      <c r="C423" s="1" t="s">
        <v>1335</v>
      </c>
      <c r="D423" s="1" t="s">
        <v>720</v>
      </c>
      <c r="E423" s="1" t="s">
        <v>21</v>
      </c>
      <c r="F423" s="1" t="s">
        <v>120</v>
      </c>
      <c r="G423" s="1" t="s">
        <v>23</v>
      </c>
      <c r="H423" s="1" t="s">
        <v>687</v>
      </c>
      <c r="I423" s="1" t="s">
        <v>688</v>
      </c>
      <c r="J423">
        <v>45719</v>
      </c>
      <c r="K423" s="9">
        <v>4.6484365070999997E-2</v>
      </c>
      <c r="L423" s="9">
        <v>0.46984499789</v>
      </c>
      <c r="M423">
        <v>462109</v>
      </c>
      <c r="N423">
        <v>25487</v>
      </c>
      <c r="O423" s="9">
        <v>2.5913668553000001E-2</v>
      </c>
      <c r="P423" s="11">
        <f>Telengana_Reaults_2019[[#This Row],[BJP Votes]]-Telengana_Reaults_2019[[#This Row],[Max Votes Other than BJP]]</f>
        <v>-436622</v>
      </c>
      <c r="Q423" s="9">
        <f>Telengana_Reaults_2019[[#This Row],[BJP Vote Share]]-Telengana_Reaults_2019[[#This Row],[Max Votes Share other than BJP]]</f>
        <v>-0.44393132933700002</v>
      </c>
      <c r="R423">
        <v>983535</v>
      </c>
      <c r="S423">
        <v>1424385</v>
      </c>
      <c r="T423" s="10">
        <v>0.69049800439999998</v>
      </c>
      <c r="U423" s="1" t="s">
        <v>68</v>
      </c>
    </row>
    <row r="424" spans="1:21" x14ac:dyDescent="0.35">
      <c r="A424" s="1" t="s">
        <v>18</v>
      </c>
      <c r="B424" s="1" t="s">
        <v>19</v>
      </c>
      <c r="C424" s="1" t="s">
        <v>1335</v>
      </c>
      <c r="D424" s="1" t="s">
        <v>721</v>
      </c>
      <c r="E424" s="1" t="s">
        <v>35</v>
      </c>
      <c r="F424" s="1" t="s">
        <v>155</v>
      </c>
      <c r="G424" s="1" t="s">
        <v>23</v>
      </c>
      <c r="H424" s="1" t="s">
        <v>24</v>
      </c>
      <c r="I424" s="1" t="s">
        <v>25</v>
      </c>
      <c r="J424">
        <v>462109</v>
      </c>
      <c r="K424" s="9">
        <v>0.46984499789</v>
      </c>
      <c r="L424" s="9">
        <v>0.46984499789</v>
      </c>
      <c r="M424">
        <v>462109</v>
      </c>
      <c r="N424">
        <v>25487</v>
      </c>
      <c r="O424" s="9">
        <v>2.5913668553000001E-2</v>
      </c>
      <c r="P424" s="11">
        <f>Telengana_Reaults_2019[[#This Row],[BJP Votes]]-Telengana_Reaults_2019[[#This Row],[Max Votes Other than BJP]]</f>
        <v>-436622</v>
      </c>
      <c r="Q424" s="9">
        <f>Telengana_Reaults_2019[[#This Row],[BJP Vote Share]]-Telengana_Reaults_2019[[#This Row],[Max Votes Share other than BJP]]</f>
        <v>-0.44393132933700002</v>
      </c>
      <c r="R424">
        <v>983535</v>
      </c>
      <c r="S424">
        <v>1424385</v>
      </c>
      <c r="T424" s="10">
        <v>0.69049800439999998</v>
      </c>
      <c r="U424" s="1" t="s">
        <v>68</v>
      </c>
    </row>
    <row r="425" spans="1:21" x14ac:dyDescent="0.35">
      <c r="A425" s="1" t="s">
        <v>18</v>
      </c>
      <c r="B425" s="1" t="s">
        <v>19</v>
      </c>
      <c r="C425" s="1" t="s">
        <v>1335</v>
      </c>
      <c r="D425" s="1" t="s">
        <v>722</v>
      </c>
      <c r="E425" s="1" t="s">
        <v>21</v>
      </c>
      <c r="F425" s="1" t="s">
        <v>165</v>
      </c>
      <c r="G425" s="1" t="s">
        <v>23</v>
      </c>
      <c r="H425" s="1" t="s">
        <v>32</v>
      </c>
      <c r="I425" s="1" t="s">
        <v>33</v>
      </c>
      <c r="J425">
        <v>25487</v>
      </c>
      <c r="K425" s="9">
        <v>2.5913668553000001E-2</v>
      </c>
      <c r="L425" s="9">
        <v>0.46984499789</v>
      </c>
      <c r="M425">
        <v>462109</v>
      </c>
      <c r="N425">
        <v>25487</v>
      </c>
      <c r="O425" s="9">
        <v>2.5913668553000001E-2</v>
      </c>
      <c r="P425" s="11">
        <f>Telengana_Reaults_2019[[#This Row],[BJP Votes]]-Telengana_Reaults_2019[[#This Row],[Max Votes Other than BJP]]</f>
        <v>-436622</v>
      </c>
      <c r="Q425" s="9">
        <f>Telengana_Reaults_2019[[#This Row],[BJP Vote Share]]-Telengana_Reaults_2019[[#This Row],[Max Votes Share other than BJP]]</f>
        <v>-0.44393132933700002</v>
      </c>
      <c r="R425">
        <v>983535</v>
      </c>
      <c r="S425">
        <v>1424385</v>
      </c>
      <c r="T425" s="10">
        <v>0.69049800439999998</v>
      </c>
      <c r="U425" s="1" t="s">
        <v>68</v>
      </c>
    </row>
    <row r="426" spans="1:21" x14ac:dyDescent="0.35">
      <c r="A426" s="1" t="s">
        <v>18</v>
      </c>
      <c r="B426" s="1" t="s">
        <v>19</v>
      </c>
      <c r="C426" s="1" t="s">
        <v>1335</v>
      </c>
      <c r="D426" s="1" t="s">
        <v>723</v>
      </c>
      <c r="E426" s="1" t="s">
        <v>21</v>
      </c>
      <c r="F426" s="1" t="s">
        <v>362</v>
      </c>
      <c r="G426" s="1" t="s">
        <v>23</v>
      </c>
      <c r="H426" s="1" t="s">
        <v>29</v>
      </c>
      <c r="I426" s="1" t="s">
        <v>30</v>
      </c>
      <c r="J426">
        <v>315446</v>
      </c>
      <c r="K426" s="9">
        <v>0.32072676621000001</v>
      </c>
      <c r="L426" s="9">
        <v>0.46984499789</v>
      </c>
      <c r="M426">
        <v>462109</v>
      </c>
      <c r="N426">
        <v>25487</v>
      </c>
      <c r="O426" s="9">
        <v>2.5913668553000001E-2</v>
      </c>
      <c r="P426" s="11">
        <f>Telengana_Reaults_2019[[#This Row],[BJP Votes]]-Telengana_Reaults_2019[[#This Row],[Max Votes Other than BJP]]</f>
        <v>-436622</v>
      </c>
      <c r="Q426" s="9">
        <f>Telengana_Reaults_2019[[#This Row],[BJP Vote Share]]-Telengana_Reaults_2019[[#This Row],[Max Votes Share other than BJP]]</f>
        <v>-0.44393132933700002</v>
      </c>
      <c r="R426">
        <v>983535</v>
      </c>
      <c r="S426">
        <v>1424385</v>
      </c>
      <c r="T426" s="10">
        <v>0.69049800439999998</v>
      </c>
      <c r="U426" s="1" t="s">
        <v>68</v>
      </c>
    </row>
    <row r="427" spans="1:21" x14ac:dyDescent="0.35">
      <c r="A427" s="1" t="s">
        <v>18</v>
      </c>
      <c r="B427" s="1" t="s">
        <v>19</v>
      </c>
      <c r="C427" s="1" t="s">
        <v>1335</v>
      </c>
      <c r="D427" s="1" t="s">
        <v>724</v>
      </c>
      <c r="E427" s="1" t="s">
        <v>21</v>
      </c>
      <c r="F427" s="1" t="s">
        <v>48</v>
      </c>
      <c r="G427" s="1" t="s">
        <v>23</v>
      </c>
      <c r="H427" s="1" t="s">
        <v>725</v>
      </c>
      <c r="I427" s="1" t="s">
        <v>461</v>
      </c>
      <c r="J427">
        <v>57073</v>
      </c>
      <c r="K427" s="9">
        <v>5.8028438235999999E-2</v>
      </c>
      <c r="L427" s="9">
        <v>0.46984499789</v>
      </c>
      <c r="M427">
        <v>462109</v>
      </c>
      <c r="N427">
        <v>25487</v>
      </c>
      <c r="O427" s="9">
        <v>2.5913668553000001E-2</v>
      </c>
      <c r="P427" s="11">
        <f>Telengana_Reaults_2019[[#This Row],[BJP Votes]]-Telengana_Reaults_2019[[#This Row],[Max Votes Other than BJP]]</f>
        <v>-436622</v>
      </c>
      <c r="Q427" s="9">
        <f>Telengana_Reaults_2019[[#This Row],[BJP Vote Share]]-Telengana_Reaults_2019[[#This Row],[Max Votes Share other than BJP]]</f>
        <v>-0.44393132933700002</v>
      </c>
      <c r="R427">
        <v>983535</v>
      </c>
      <c r="S427">
        <v>1424385</v>
      </c>
      <c r="T427" s="10">
        <v>0.69049800439999998</v>
      </c>
      <c r="U427" s="1" t="s">
        <v>68</v>
      </c>
    </row>
    <row r="428" spans="1:21" x14ac:dyDescent="0.35">
      <c r="A428" s="1" t="s">
        <v>18</v>
      </c>
      <c r="B428" s="1" t="s">
        <v>19</v>
      </c>
      <c r="C428" s="1" t="s">
        <v>1335</v>
      </c>
      <c r="D428" s="1" t="s">
        <v>726</v>
      </c>
      <c r="E428" s="1" t="s">
        <v>35</v>
      </c>
      <c r="F428" s="1" t="s">
        <v>143</v>
      </c>
      <c r="G428" s="1" t="s">
        <v>23</v>
      </c>
      <c r="H428" s="1" t="s">
        <v>77</v>
      </c>
      <c r="I428" s="1" t="s">
        <v>78</v>
      </c>
      <c r="J428">
        <v>2302</v>
      </c>
      <c r="K428" s="9">
        <v>2.3405369406999999E-3</v>
      </c>
      <c r="L428" s="9">
        <v>0.46984499789</v>
      </c>
      <c r="M428">
        <v>462109</v>
      </c>
      <c r="N428">
        <v>25487</v>
      </c>
      <c r="O428" s="9">
        <v>2.5913668553000001E-2</v>
      </c>
      <c r="P428" s="11">
        <f>Telengana_Reaults_2019[[#This Row],[BJP Votes]]-Telengana_Reaults_2019[[#This Row],[Max Votes Other than BJP]]</f>
        <v>-436622</v>
      </c>
      <c r="Q428" s="9">
        <f>Telengana_Reaults_2019[[#This Row],[BJP Vote Share]]-Telengana_Reaults_2019[[#This Row],[Max Votes Share other than BJP]]</f>
        <v>-0.44393132933700002</v>
      </c>
      <c r="R428">
        <v>983535</v>
      </c>
      <c r="S428">
        <v>1424385</v>
      </c>
      <c r="T428" s="10">
        <v>0.69049800439999998</v>
      </c>
      <c r="U428" s="1" t="s">
        <v>68</v>
      </c>
    </row>
    <row r="429" spans="1:21" x14ac:dyDescent="0.35">
      <c r="A429" s="1" t="s">
        <v>18</v>
      </c>
      <c r="B429" s="1" t="s">
        <v>19</v>
      </c>
      <c r="C429" s="1" t="s">
        <v>1335</v>
      </c>
      <c r="D429" s="1" t="s">
        <v>727</v>
      </c>
      <c r="E429" s="1" t="s">
        <v>21</v>
      </c>
      <c r="F429" s="1" t="s">
        <v>48</v>
      </c>
      <c r="G429" s="1" t="s">
        <v>23</v>
      </c>
      <c r="H429" s="1" t="s">
        <v>509</v>
      </c>
      <c r="I429" s="1" t="s">
        <v>102</v>
      </c>
      <c r="J429">
        <v>5908</v>
      </c>
      <c r="K429" s="9">
        <v>6.0069036688999997E-3</v>
      </c>
      <c r="L429" s="9">
        <v>0.46984499789</v>
      </c>
      <c r="M429">
        <v>462109</v>
      </c>
      <c r="N429">
        <v>25487</v>
      </c>
      <c r="O429" s="9">
        <v>2.5913668553000001E-2</v>
      </c>
      <c r="P429" s="11">
        <f>Telengana_Reaults_2019[[#This Row],[BJP Votes]]-Telengana_Reaults_2019[[#This Row],[Max Votes Other than BJP]]</f>
        <v>-436622</v>
      </c>
      <c r="Q429" s="9">
        <f>Telengana_Reaults_2019[[#This Row],[BJP Vote Share]]-Telengana_Reaults_2019[[#This Row],[Max Votes Share other than BJP]]</f>
        <v>-0.44393132933700002</v>
      </c>
      <c r="R429">
        <v>983535</v>
      </c>
      <c r="S429">
        <v>1424385</v>
      </c>
      <c r="T429" s="10">
        <v>0.69049800439999998</v>
      </c>
      <c r="U429" s="1" t="s">
        <v>68</v>
      </c>
    </row>
    <row r="430" spans="1:21" x14ac:dyDescent="0.35">
      <c r="A430" s="1" t="s">
        <v>18</v>
      </c>
      <c r="B430" s="1" t="s">
        <v>19</v>
      </c>
      <c r="C430" s="1" t="s">
        <v>1335</v>
      </c>
      <c r="D430" s="1" t="s">
        <v>728</v>
      </c>
      <c r="E430" s="1" t="s">
        <v>21</v>
      </c>
      <c r="F430" s="1" t="s">
        <v>160</v>
      </c>
      <c r="G430" s="1" t="s">
        <v>23</v>
      </c>
      <c r="H430" s="1" t="s">
        <v>41</v>
      </c>
      <c r="I430" s="1" t="s">
        <v>42</v>
      </c>
      <c r="J430">
        <v>9811</v>
      </c>
      <c r="K430" s="9">
        <v>9.9752423655000005E-3</v>
      </c>
      <c r="L430" s="9">
        <v>0.46984499789</v>
      </c>
      <c r="M430">
        <v>462109</v>
      </c>
      <c r="N430">
        <v>25487</v>
      </c>
      <c r="O430" s="9">
        <v>2.5913668553000001E-2</v>
      </c>
      <c r="P430" s="11">
        <f>Telengana_Reaults_2019[[#This Row],[BJP Votes]]-Telengana_Reaults_2019[[#This Row],[Max Votes Other than BJP]]</f>
        <v>-436622</v>
      </c>
      <c r="Q430" s="9">
        <f>Telengana_Reaults_2019[[#This Row],[BJP Vote Share]]-Telengana_Reaults_2019[[#This Row],[Max Votes Share other than BJP]]</f>
        <v>-0.44393132933700002</v>
      </c>
      <c r="R430">
        <v>983535</v>
      </c>
      <c r="S430">
        <v>1424385</v>
      </c>
      <c r="T430" s="10">
        <v>0.69049800439999998</v>
      </c>
      <c r="U430" s="1" t="s">
        <v>68</v>
      </c>
    </row>
    <row r="431" spans="1:21" x14ac:dyDescent="0.35">
      <c r="A431" s="1" t="s">
        <v>18</v>
      </c>
      <c r="B431" s="1" t="s">
        <v>19</v>
      </c>
      <c r="C431" s="1" t="s">
        <v>1335</v>
      </c>
      <c r="D431" s="1" t="s">
        <v>729</v>
      </c>
      <c r="E431" s="1" t="s">
        <v>35</v>
      </c>
      <c r="F431" s="1" t="s">
        <v>234</v>
      </c>
      <c r="G431" s="1" t="s">
        <v>23</v>
      </c>
      <c r="H431" s="1" t="s">
        <v>53</v>
      </c>
      <c r="I431" s="1" t="s">
        <v>427</v>
      </c>
      <c r="J431">
        <v>11058</v>
      </c>
      <c r="K431" s="9">
        <v>1.1243117937000001E-2</v>
      </c>
      <c r="L431" s="9">
        <v>0.46984499789</v>
      </c>
      <c r="M431">
        <v>462109</v>
      </c>
      <c r="N431">
        <v>25487</v>
      </c>
      <c r="O431" s="9">
        <v>2.5913668553000001E-2</v>
      </c>
      <c r="P431" s="11">
        <f>Telengana_Reaults_2019[[#This Row],[BJP Votes]]-Telengana_Reaults_2019[[#This Row],[Max Votes Other than BJP]]</f>
        <v>-436622</v>
      </c>
      <c r="Q431" s="9">
        <f>Telengana_Reaults_2019[[#This Row],[BJP Vote Share]]-Telengana_Reaults_2019[[#This Row],[Max Votes Share other than BJP]]</f>
        <v>-0.44393132933700002</v>
      </c>
      <c r="R431">
        <v>983535</v>
      </c>
      <c r="S431">
        <v>1424385</v>
      </c>
      <c r="T431" s="10">
        <v>0.69049800439999998</v>
      </c>
      <c r="U431" s="1" t="s">
        <v>68</v>
      </c>
    </row>
    <row r="432" spans="1:21" x14ac:dyDescent="0.35">
      <c r="A432" s="1" t="s">
        <v>18</v>
      </c>
      <c r="B432" s="1" t="s">
        <v>19</v>
      </c>
      <c r="C432" s="1" t="s">
        <v>1335</v>
      </c>
      <c r="D432" s="1" t="s">
        <v>730</v>
      </c>
      <c r="E432" s="1" t="s">
        <v>21</v>
      </c>
      <c r="F432" s="1" t="s">
        <v>155</v>
      </c>
      <c r="G432" s="1" t="s">
        <v>23</v>
      </c>
      <c r="H432" s="1" t="s">
        <v>53</v>
      </c>
      <c r="I432" s="1" t="s">
        <v>38</v>
      </c>
      <c r="J432">
        <v>3851</v>
      </c>
      <c r="K432" s="9">
        <v>3.9154681835999999E-3</v>
      </c>
      <c r="L432" s="9">
        <v>0.46984499789</v>
      </c>
      <c r="M432">
        <v>462109</v>
      </c>
      <c r="N432">
        <v>25487</v>
      </c>
      <c r="O432" s="9">
        <v>2.5913668553000001E-2</v>
      </c>
      <c r="P432" s="11">
        <f>Telengana_Reaults_2019[[#This Row],[BJP Votes]]-Telengana_Reaults_2019[[#This Row],[Max Votes Other than BJP]]</f>
        <v>-436622</v>
      </c>
      <c r="Q432" s="9">
        <f>Telengana_Reaults_2019[[#This Row],[BJP Vote Share]]-Telengana_Reaults_2019[[#This Row],[Max Votes Share other than BJP]]</f>
        <v>-0.44393132933700002</v>
      </c>
      <c r="R432">
        <v>983535</v>
      </c>
      <c r="S432">
        <v>1424385</v>
      </c>
      <c r="T432" s="10">
        <v>0.69049800439999998</v>
      </c>
      <c r="U432" s="1" t="s">
        <v>68</v>
      </c>
    </row>
    <row r="433" spans="1:21" x14ac:dyDescent="0.35">
      <c r="A433" s="1" t="s">
        <v>18</v>
      </c>
      <c r="B433" s="1" t="s">
        <v>19</v>
      </c>
      <c r="C433" s="1" t="s">
        <v>1335</v>
      </c>
      <c r="D433" s="1" t="s">
        <v>731</v>
      </c>
      <c r="E433" s="1" t="s">
        <v>35</v>
      </c>
      <c r="F433" s="1" t="s">
        <v>80</v>
      </c>
      <c r="G433" s="1" t="s">
        <v>23</v>
      </c>
      <c r="H433" s="1" t="s">
        <v>53</v>
      </c>
      <c r="I433" s="1" t="s">
        <v>483</v>
      </c>
      <c r="J433">
        <v>3213</v>
      </c>
      <c r="K433" s="9">
        <v>3.2667876588E-3</v>
      </c>
      <c r="L433" s="9">
        <v>0.46984499789</v>
      </c>
      <c r="M433">
        <v>462109</v>
      </c>
      <c r="N433">
        <v>25487</v>
      </c>
      <c r="O433" s="9">
        <v>2.5913668553000001E-2</v>
      </c>
      <c r="P433" s="11">
        <f>Telengana_Reaults_2019[[#This Row],[BJP Votes]]-Telengana_Reaults_2019[[#This Row],[Max Votes Other than BJP]]</f>
        <v>-436622</v>
      </c>
      <c r="Q433" s="9">
        <f>Telengana_Reaults_2019[[#This Row],[BJP Vote Share]]-Telengana_Reaults_2019[[#This Row],[Max Votes Share other than BJP]]</f>
        <v>-0.44393132933700002</v>
      </c>
      <c r="R433">
        <v>983535</v>
      </c>
      <c r="S433">
        <v>1424385</v>
      </c>
      <c r="T433" s="10">
        <v>0.69049800439999998</v>
      </c>
      <c r="U433" s="1" t="s">
        <v>68</v>
      </c>
    </row>
    <row r="434" spans="1:21" x14ac:dyDescent="0.35">
      <c r="A434" s="1" t="s">
        <v>18</v>
      </c>
      <c r="B434" s="1" t="s">
        <v>19</v>
      </c>
      <c r="C434" s="1" t="s">
        <v>1335</v>
      </c>
      <c r="D434" s="1" t="s">
        <v>732</v>
      </c>
      <c r="E434" s="1" t="s">
        <v>21</v>
      </c>
      <c r="F434" s="1" t="s">
        <v>44</v>
      </c>
      <c r="G434" s="1" t="s">
        <v>23</v>
      </c>
      <c r="H434" s="1" t="s">
        <v>53</v>
      </c>
      <c r="I434" s="1" t="s">
        <v>184</v>
      </c>
      <c r="J434">
        <v>14866</v>
      </c>
      <c r="K434" s="9">
        <v>1.5114866273E-2</v>
      </c>
      <c r="L434" s="9">
        <v>0.46984499789</v>
      </c>
      <c r="M434">
        <v>462109</v>
      </c>
      <c r="N434">
        <v>25487</v>
      </c>
      <c r="O434" s="9">
        <v>2.5913668553000001E-2</v>
      </c>
      <c r="P434" s="11">
        <f>Telengana_Reaults_2019[[#This Row],[BJP Votes]]-Telengana_Reaults_2019[[#This Row],[Max Votes Other than BJP]]</f>
        <v>-436622</v>
      </c>
      <c r="Q434" s="9">
        <f>Telengana_Reaults_2019[[#This Row],[BJP Vote Share]]-Telengana_Reaults_2019[[#This Row],[Max Votes Share other than BJP]]</f>
        <v>-0.44393132933700002</v>
      </c>
      <c r="R434">
        <v>983535</v>
      </c>
      <c r="S434">
        <v>1424385</v>
      </c>
      <c r="T434" s="10">
        <v>0.69049800439999998</v>
      </c>
      <c r="U434" s="1" t="s">
        <v>68</v>
      </c>
    </row>
    <row r="435" spans="1:21" x14ac:dyDescent="0.35">
      <c r="A435" s="1" t="s">
        <v>18</v>
      </c>
      <c r="B435" s="1" t="s">
        <v>19</v>
      </c>
      <c r="C435" s="1" t="s">
        <v>1335</v>
      </c>
      <c r="D435" s="1" t="s">
        <v>733</v>
      </c>
      <c r="E435" s="1" t="s">
        <v>21</v>
      </c>
      <c r="F435" s="1" t="s">
        <v>22</v>
      </c>
      <c r="G435" s="1" t="s">
        <v>23</v>
      </c>
      <c r="H435" s="1" t="s">
        <v>53</v>
      </c>
      <c r="I435" s="1" t="s">
        <v>60</v>
      </c>
      <c r="J435">
        <v>6666</v>
      </c>
      <c r="K435" s="9">
        <v>6.7775930699E-3</v>
      </c>
      <c r="L435" s="9">
        <v>0.46984499789</v>
      </c>
      <c r="M435">
        <v>462109</v>
      </c>
      <c r="N435">
        <v>25487</v>
      </c>
      <c r="O435" s="9">
        <v>2.5913668553000001E-2</v>
      </c>
      <c r="P435" s="11">
        <f>Telengana_Reaults_2019[[#This Row],[BJP Votes]]-Telengana_Reaults_2019[[#This Row],[Max Votes Other than BJP]]</f>
        <v>-436622</v>
      </c>
      <c r="Q435" s="9">
        <f>Telengana_Reaults_2019[[#This Row],[BJP Vote Share]]-Telengana_Reaults_2019[[#This Row],[Max Votes Share other than BJP]]</f>
        <v>-0.44393132933700002</v>
      </c>
      <c r="R435">
        <v>983535</v>
      </c>
      <c r="S435">
        <v>1424385</v>
      </c>
      <c r="T435" s="10">
        <v>0.69049800439999998</v>
      </c>
      <c r="U435" s="1" t="s">
        <v>68</v>
      </c>
    </row>
    <row r="436" spans="1:21" x14ac:dyDescent="0.35">
      <c r="A436" s="1" t="s">
        <v>18</v>
      </c>
      <c r="B436" s="1" t="s">
        <v>19</v>
      </c>
      <c r="C436" s="1" t="s">
        <v>1335</v>
      </c>
      <c r="D436" s="1" t="s">
        <v>734</v>
      </c>
      <c r="E436" s="1" t="s">
        <v>21</v>
      </c>
      <c r="F436" s="1" t="s">
        <v>117</v>
      </c>
      <c r="G436" s="1" t="s">
        <v>23</v>
      </c>
      <c r="H436" s="1" t="s">
        <v>53</v>
      </c>
      <c r="I436" s="1" t="s">
        <v>57</v>
      </c>
      <c r="J436">
        <v>5944</v>
      </c>
      <c r="K436" s="9">
        <v>6.0435063318000004E-3</v>
      </c>
      <c r="L436" s="9">
        <v>0.46984499789</v>
      </c>
      <c r="M436">
        <v>462109</v>
      </c>
      <c r="N436">
        <v>25487</v>
      </c>
      <c r="O436" s="9">
        <v>2.5913668553000001E-2</v>
      </c>
      <c r="P436" s="11">
        <f>Telengana_Reaults_2019[[#This Row],[BJP Votes]]-Telengana_Reaults_2019[[#This Row],[Max Votes Other than BJP]]</f>
        <v>-436622</v>
      </c>
      <c r="Q436" s="9">
        <f>Telengana_Reaults_2019[[#This Row],[BJP Vote Share]]-Telengana_Reaults_2019[[#This Row],[Max Votes Share other than BJP]]</f>
        <v>-0.44393132933700002</v>
      </c>
      <c r="R436">
        <v>983535</v>
      </c>
      <c r="S436">
        <v>1424385</v>
      </c>
      <c r="T436" s="10">
        <v>0.69049800439999998</v>
      </c>
      <c r="U436" s="1" t="s">
        <v>68</v>
      </c>
    </row>
    <row r="437" spans="1:21" x14ac:dyDescent="0.35">
      <c r="A437" s="1" t="s">
        <v>18</v>
      </c>
      <c r="B437" s="1" t="s">
        <v>19</v>
      </c>
      <c r="C437" s="1" t="s">
        <v>1335</v>
      </c>
      <c r="D437" s="1" t="s">
        <v>64</v>
      </c>
      <c r="E437" s="1" t="s">
        <v>64</v>
      </c>
      <c r="F437" s="1" t="s">
        <v>64</v>
      </c>
      <c r="G437" s="1" t="s">
        <v>64</v>
      </c>
      <c r="H437" s="1" t="s">
        <v>64</v>
      </c>
      <c r="I437" s="1" t="s">
        <v>64</v>
      </c>
      <c r="J437">
        <v>14082</v>
      </c>
      <c r="K437" s="9">
        <v>1.4317741615999999E-2</v>
      </c>
      <c r="L437" s="9">
        <v>0.46984499789</v>
      </c>
      <c r="M437">
        <v>462109</v>
      </c>
      <c r="N437">
        <v>25487</v>
      </c>
      <c r="O437" s="9">
        <v>2.5913668553000001E-2</v>
      </c>
      <c r="P437" s="11">
        <f>Telengana_Reaults_2019[[#This Row],[BJP Votes]]-Telengana_Reaults_2019[[#This Row],[Max Votes Other than BJP]]</f>
        <v>-436622</v>
      </c>
      <c r="Q437" s="9">
        <f>Telengana_Reaults_2019[[#This Row],[BJP Vote Share]]-Telengana_Reaults_2019[[#This Row],[Max Votes Share other than BJP]]</f>
        <v>-0.44393132933700002</v>
      </c>
      <c r="R437">
        <v>983535</v>
      </c>
      <c r="S437">
        <v>1424385</v>
      </c>
      <c r="T437" s="10">
        <v>0.69049800439999998</v>
      </c>
      <c r="U437" s="1" t="s">
        <v>68</v>
      </c>
    </row>
    <row r="438" spans="1:21" x14ac:dyDescent="0.35">
      <c r="A438" s="1" t="s">
        <v>18</v>
      </c>
      <c r="B438" s="1" t="s">
        <v>19</v>
      </c>
      <c r="C438" s="1" t="s">
        <v>1361</v>
      </c>
      <c r="D438" s="1" t="s">
        <v>735</v>
      </c>
      <c r="E438" s="1" t="s">
        <v>21</v>
      </c>
      <c r="F438" s="1" t="s">
        <v>59</v>
      </c>
      <c r="G438" s="1" t="s">
        <v>112</v>
      </c>
      <c r="H438" s="1" t="s">
        <v>32</v>
      </c>
      <c r="I438" s="1" t="s">
        <v>33</v>
      </c>
      <c r="J438">
        <v>20488</v>
      </c>
      <c r="K438" s="9">
        <v>1.7974594478999999E-2</v>
      </c>
      <c r="L438" s="9">
        <v>0.49784485595</v>
      </c>
      <c r="M438">
        <v>567459</v>
      </c>
      <c r="N438">
        <v>20488</v>
      </c>
      <c r="O438" s="9">
        <v>1.7974594478999999E-2</v>
      </c>
      <c r="P438" s="11">
        <f>Telengana_Reaults_2019[[#This Row],[BJP Votes]]-Telengana_Reaults_2019[[#This Row],[Max Votes Other than BJP]]</f>
        <v>-546971</v>
      </c>
      <c r="Q438" s="9">
        <f>Telengana_Reaults_2019[[#This Row],[BJP Vote Share]]-Telengana_Reaults_2019[[#This Row],[Max Votes Share other than BJP]]</f>
        <v>-0.47987026147099998</v>
      </c>
      <c r="R438">
        <v>1139831</v>
      </c>
      <c r="S438">
        <v>1513809</v>
      </c>
      <c r="T438" s="10">
        <v>0.75295562386000003</v>
      </c>
      <c r="U438" s="1" t="s">
        <v>68</v>
      </c>
    </row>
    <row r="439" spans="1:21" x14ac:dyDescent="0.35">
      <c r="A439" s="1" t="s">
        <v>18</v>
      </c>
      <c r="B439" s="1" t="s">
        <v>19</v>
      </c>
      <c r="C439" s="1" t="s">
        <v>1361</v>
      </c>
      <c r="D439" s="1" t="s">
        <v>736</v>
      </c>
      <c r="E439" s="1" t="s">
        <v>21</v>
      </c>
      <c r="F439" s="1" t="s">
        <v>104</v>
      </c>
      <c r="G439" s="1" t="s">
        <v>112</v>
      </c>
      <c r="H439" s="1" t="s">
        <v>24</v>
      </c>
      <c r="I439" s="1" t="s">
        <v>25</v>
      </c>
      <c r="J439">
        <v>567459</v>
      </c>
      <c r="K439" s="9">
        <v>0.49784485595</v>
      </c>
      <c r="L439" s="9">
        <v>0.49784485595</v>
      </c>
      <c r="M439">
        <v>567459</v>
      </c>
      <c r="N439">
        <v>20488</v>
      </c>
      <c r="O439" s="9">
        <v>1.7974594478999999E-2</v>
      </c>
      <c r="P439" s="11">
        <f>Telengana_Reaults_2019[[#This Row],[BJP Votes]]-Telengana_Reaults_2019[[#This Row],[Max Votes Other than BJP]]</f>
        <v>-546971</v>
      </c>
      <c r="Q439" s="9">
        <f>Telengana_Reaults_2019[[#This Row],[BJP Vote Share]]-Telengana_Reaults_2019[[#This Row],[Max Votes Share other than BJP]]</f>
        <v>-0.47987026147099998</v>
      </c>
      <c r="R439">
        <v>1139831</v>
      </c>
      <c r="S439">
        <v>1513809</v>
      </c>
      <c r="T439" s="10">
        <v>0.75295562386000003</v>
      </c>
      <c r="U439" s="1" t="s">
        <v>68</v>
      </c>
    </row>
    <row r="440" spans="1:21" x14ac:dyDescent="0.35">
      <c r="A440" s="1" t="s">
        <v>18</v>
      </c>
      <c r="B440" s="1" t="s">
        <v>19</v>
      </c>
      <c r="C440" s="1" t="s">
        <v>1361</v>
      </c>
      <c r="D440" s="1" t="s">
        <v>737</v>
      </c>
      <c r="E440" s="1" t="s">
        <v>21</v>
      </c>
      <c r="F440" s="1" t="s">
        <v>22</v>
      </c>
      <c r="G440" s="1" t="s">
        <v>67</v>
      </c>
      <c r="H440" s="1" t="s">
        <v>657</v>
      </c>
      <c r="I440" s="1" t="s">
        <v>658</v>
      </c>
      <c r="J440">
        <v>57102</v>
      </c>
      <c r="K440" s="9">
        <v>5.0096900329999999E-2</v>
      </c>
      <c r="L440" s="9">
        <v>0.49784485595</v>
      </c>
      <c r="M440">
        <v>567459</v>
      </c>
      <c r="N440">
        <v>20488</v>
      </c>
      <c r="O440" s="9">
        <v>1.7974594478999999E-2</v>
      </c>
      <c r="P440" s="11">
        <f>Telengana_Reaults_2019[[#This Row],[BJP Votes]]-Telengana_Reaults_2019[[#This Row],[Max Votes Other than BJP]]</f>
        <v>-546971</v>
      </c>
      <c r="Q440" s="9">
        <f>Telengana_Reaults_2019[[#This Row],[BJP Vote Share]]-Telengana_Reaults_2019[[#This Row],[Max Votes Share other than BJP]]</f>
        <v>-0.47987026147099998</v>
      </c>
      <c r="R440">
        <v>1139831</v>
      </c>
      <c r="S440">
        <v>1513809</v>
      </c>
      <c r="T440" s="10">
        <v>0.75295562386000003</v>
      </c>
      <c r="U440" s="1" t="s">
        <v>68</v>
      </c>
    </row>
    <row r="441" spans="1:21" x14ac:dyDescent="0.35">
      <c r="A441" s="1" t="s">
        <v>18</v>
      </c>
      <c r="B441" s="1" t="s">
        <v>19</v>
      </c>
      <c r="C441" s="1" t="s">
        <v>1361</v>
      </c>
      <c r="D441" s="1" t="s">
        <v>738</v>
      </c>
      <c r="E441" s="1" t="s">
        <v>35</v>
      </c>
      <c r="F441" s="1" t="s">
        <v>559</v>
      </c>
      <c r="G441" s="1" t="s">
        <v>112</v>
      </c>
      <c r="H441" s="1" t="s">
        <v>29</v>
      </c>
      <c r="I441" s="1" t="s">
        <v>30</v>
      </c>
      <c r="J441">
        <v>399397</v>
      </c>
      <c r="K441" s="9">
        <v>0.35040019091000002</v>
      </c>
      <c r="L441" s="9">
        <v>0.49784485595</v>
      </c>
      <c r="M441">
        <v>567459</v>
      </c>
      <c r="N441">
        <v>20488</v>
      </c>
      <c r="O441" s="9">
        <v>1.7974594478999999E-2</v>
      </c>
      <c r="P441" s="11">
        <f>Telengana_Reaults_2019[[#This Row],[BJP Votes]]-Telengana_Reaults_2019[[#This Row],[Max Votes Other than BJP]]</f>
        <v>-546971</v>
      </c>
      <c r="Q441" s="9">
        <f>Telengana_Reaults_2019[[#This Row],[BJP Vote Share]]-Telengana_Reaults_2019[[#This Row],[Max Votes Share other than BJP]]</f>
        <v>-0.47987026147099998</v>
      </c>
      <c r="R441">
        <v>1139831</v>
      </c>
      <c r="S441">
        <v>1513809</v>
      </c>
      <c r="T441" s="10">
        <v>0.75295562386000003</v>
      </c>
      <c r="U441" s="1" t="s">
        <v>68</v>
      </c>
    </row>
    <row r="442" spans="1:21" x14ac:dyDescent="0.35">
      <c r="A442" s="1" t="s">
        <v>18</v>
      </c>
      <c r="B442" s="1" t="s">
        <v>19</v>
      </c>
      <c r="C442" s="1" t="s">
        <v>1361</v>
      </c>
      <c r="D442" s="1" t="s">
        <v>739</v>
      </c>
      <c r="E442" s="1" t="s">
        <v>21</v>
      </c>
      <c r="F442" s="1" t="s">
        <v>56</v>
      </c>
      <c r="G442" s="1" t="s">
        <v>67</v>
      </c>
      <c r="H442" s="1" t="s">
        <v>740</v>
      </c>
      <c r="I442" s="1" t="s">
        <v>60</v>
      </c>
      <c r="J442">
        <v>3407</v>
      </c>
      <c r="K442" s="9">
        <v>2.9890396032000001E-3</v>
      </c>
      <c r="L442" s="9">
        <v>0.49784485595</v>
      </c>
      <c r="M442">
        <v>567459</v>
      </c>
      <c r="N442">
        <v>20488</v>
      </c>
      <c r="O442" s="9">
        <v>1.7974594478999999E-2</v>
      </c>
      <c r="P442" s="11">
        <f>Telengana_Reaults_2019[[#This Row],[BJP Votes]]-Telengana_Reaults_2019[[#This Row],[Max Votes Other than BJP]]</f>
        <v>-546971</v>
      </c>
      <c r="Q442" s="9">
        <f>Telengana_Reaults_2019[[#This Row],[BJP Vote Share]]-Telengana_Reaults_2019[[#This Row],[Max Votes Share other than BJP]]</f>
        <v>-0.47987026147099998</v>
      </c>
      <c r="R442">
        <v>1139831</v>
      </c>
      <c r="S442">
        <v>1513809</v>
      </c>
      <c r="T442" s="10">
        <v>0.75295562386000003</v>
      </c>
      <c r="U442" s="1" t="s">
        <v>68</v>
      </c>
    </row>
    <row r="443" spans="1:21" x14ac:dyDescent="0.35">
      <c r="A443" s="1" t="s">
        <v>18</v>
      </c>
      <c r="B443" s="1" t="s">
        <v>19</v>
      </c>
      <c r="C443" s="1" t="s">
        <v>1361</v>
      </c>
      <c r="D443" s="1" t="s">
        <v>741</v>
      </c>
      <c r="E443" s="1" t="s">
        <v>21</v>
      </c>
      <c r="F443" s="1" t="s">
        <v>62</v>
      </c>
      <c r="G443" s="1" t="s">
        <v>67</v>
      </c>
      <c r="H443" s="1" t="s">
        <v>742</v>
      </c>
      <c r="I443" s="1" t="s">
        <v>57</v>
      </c>
      <c r="J443">
        <v>1320</v>
      </c>
      <c r="K443" s="9">
        <v>1.1580664151000001E-3</v>
      </c>
      <c r="L443" s="9">
        <v>0.49784485595</v>
      </c>
      <c r="M443">
        <v>567459</v>
      </c>
      <c r="N443">
        <v>20488</v>
      </c>
      <c r="O443" s="9">
        <v>1.7974594478999999E-2</v>
      </c>
      <c r="P443" s="11">
        <f>Telengana_Reaults_2019[[#This Row],[BJP Votes]]-Telengana_Reaults_2019[[#This Row],[Max Votes Other than BJP]]</f>
        <v>-546971</v>
      </c>
      <c r="Q443" s="9">
        <f>Telengana_Reaults_2019[[#This Row],[BJP Vote Share]]-Telengana_Reaults_2019[[#This Row],[Max Votes Share other than BJP]]</f>
        <v>-0.47987026147099998</v>
      </c>
      <c r="R443">
        <v>1139831</v>
      </c>
      <c r="S443">
        <v>1513809</v>
      </c>
      <c r="T443" s="10">
        <v>0.75295562386000003</v>
      </c>
      <c r="U443" s="1" t="s">
        <v>68</v>
      </c>
    </row>
    <row r="444" spans="1:21" x14ac:dyDescent="0.35">
      <c r="A444" s="1" t="s">
        <v>18</v>
      </c>
      <c r="B444" s="1" t="s">
        <v>19</v>
      </c>
      <c r="C444" s="1" t="s">
        <v>1361</v>
      </c>
      <c r="D444" s="1" t="s">
        <v>743</v>
      </c>
      <c r="E444" s="1" t="s">
        <v>21</v>
      </c>
      <c r="F444" s="1" t="s">
        <v>75</v>
      </c>
      <c r="G444" s="1" t="s">
        <v>67</v>
      </c>
      <c r="H444" s="1" t="s">
        <v>744</v>
      </c>
      <c r="I444" s="1" t="s">
        <v>38</v>
      </c>
      <c r="J444">
        <v>1660</v>
      </c>
      <c r="K444" s="9">
        <v>1.4563562492999999E-3</v>
      </c>
      <c r="L444" s="9">
        <v>0.49784485595</v>
      </c>
      <c r="M444">
        <v>567459</v>
      </c>
      <c r="N444">
        <v>20488</v>
      </c>
      <c r="O444" s="9">
        <v>1.7974594478999999E-2</v>
      </c>
      <c r="P444" s="11">
        <f>Telengana_Reaults_2019[[#This Row],[BJP Votes]]-Telengana_Reaults_2019[[#This Row],[Max Votes Other than BJP]]</f>
        <v>-546971</v>
      </c>
      <c r="Q444" s="9">
        <f>Telengana_Reaults_2019[[#This Row],[BJP Vote Share]]-Telengana_Reaults_2019[[#This Row],[Max Votes Share other than BJP]]</f>
        <v>-0.47987026147099998</v>
      </c>
      <c r="R444">
        <v>1139831</v>
      </c>
      <c r="S444">
        <v>1513809</v>
      </c>
      <c r="T444" s="10">
        <v>0.75295562386000003</v>
      </c>
      <c r="U444" s="1" t="s">
        <v>68</v>
      </c>
    </row>
    <row r="445" spans="1:21" x14ac:dyDescent="0.35">
      <c r="A445" s="1" t="s">
        <v>18</v>
      </c>
      <c r="B445" s="1" t="s">
        <v>19</v>
      </c>
      <c r="C445" s="1" t="s">
        <v>1361</v>
      </c>
      <c r="D445" s="1" t="s">
        <v>745</v>
      </c>
      <c r="E445" s="1" t="s">
        <v>21</v>
      </c>
      <c r="F445" s="1" t="s">
        <v>62</v>
      </c>
      <c r="G445" s="1" t="s">
        <v>112</v>
      </c>
      <c r="H445" s="1" t="s">
        <v>41</v>
      </c>
      <c r="I445" s="1" t="s">
        <v>42</v>
      </c>
      <c r="J445">
        <v>19315</v>
      </c>
      <c r="K445" s="9">
        <v>1.6945494551000001E-2</v>
      </c>
      <c r="L445" s="9">
        <v>0.49784485595</v>
      </c>
      <c r="M445">
        <v>567459</v>
      </c>
      <c r="N445">
        <v>20488</v>
      </c>
      <c r="O445" s="9">
        <v>1.7974594478999999E-2</v>
      </c>
      <c r="P445" s="11">
        <f>Telengana_Reaults_2019[[#This Row],[BJP Votes]]-Telengana_Reaults_2019[[#This Row],[Max Votes Other than BJP]]</f>
        <v>-546971</v>
      </c>
      <c r="Q445" s="9">
        <f>Telengana_Reaults_2019[[#This Row],[BJP Vote Share]]-Telengana_Reaults_2019[[#This Row],[Max Votes Share other than BJP]]</f>
        <v>-0.47987026147099998</v>
      </c>
      <c r="R445">
        <v>1139831</v>
      </c>
      <c r="S445">
        <v>1513809</v>
      </c>
      <c r="T445" s="10">
        <v>0.75295562386000003</v>
      </c>
      <c r="U445" s="1" t="s">
        <v>68</v>
      </c>
    </row>
    <row r="446" spans="1:21" x14ac:dyDescent="0.35">
      <c r="A446" s="1" t="s">
        <v>18</v>
      </c>
      <c r="B446" s="1" t="s">
        <v>19</v>
      </c>
      <c r="C446" s="1" t="s">
        <v>1361</v>
      </c>
      <c r="D446" s="1" t="s">
        <v>746</v>
      </c>
      <c r="E446" s="1" t="s">
        <v>21</v>
      </c>
      <c r="F446" s="1" t="s">
        <v>40</v>
      </c>
      <c r="G446" s="1" t="s">
        <v>23</v>
      </c>
      <c r="H446" s="1" t="s">
        <v>150</v>
      </c>
      <c r="I446" s="1" t="s">
        <v>151</v>
      </c>
      <c r="J446">
        <v>1030</v>
      </c>
      <c r="K446" s="9">
        <v>9.0364273299999996E-4</v>
      </c>
      <c r="L446" s="9">
        <v>0.49784485595</v>
      </c>
      <c r="M446">
        <v>567459</v>
      </c>
      <c r="N446">
        <v>20488</v>
      </c>
      <c r="O446" s="9">
        <v>1.7974594478999999E-2</v>
      </c>
      <c r="P446" s="11">
        <f>Telengana_Reaults_2019[[#This Row],[BJP Votes]]-Telengana_Reaults_2019[[#This Row],[Max Votes Other than BJP]]</f>
        <v>-546971</v>
      </c>
      <c r="Q446" s="9">
        <f>Telengana_Reaults_2019[[#This Row],[BJP Vote Share]]-Telengana_Reaults_2019[[#This Row],[Max Votes Share other than BJP]]</f>
        <v>-0.47987026147099998</v>
      </c>
      <c r="R446">
        <v>1139831</v>
      </c>
      <c r="S446">
        <v>1513809</v>
      </c>
      <c r="T446" s="10">
        <v>0.75295562386000003</v>
      </c>
      <c r="U446" s="1" t="s">
        <v>68</v>
      </c>
    </row>
    <row r="447" spans="1:21" x14ac:dyDescent="0.35">
      <c r="A447" s="1" t="s">
        <v>18</v>
      </c>
      <c r="B447" s="1" t="s">
        <v>19</v>
      </c>
      <c r="C447" s="1" t="s">
        <v>1361</v>
      </c>
      <c r="D447" s="1" t="s">
        <v>747</v>
      </c>
      <c r="E447" s="1" t="s">
        <v>21</v>
      </c>
      <c r="F447" s="1" t="s">
        <v>173</v>
      </c>
      <c r="G447" s="1" t="s">
        <v>112</v>
      </c>
      <c r="H447" s="1" t="s">
        <v>77</v>
      </c>
      <c r="I447" s="1" t="s">
        <v>78</v>
      </c>
      <c r="J447">
        <v>969</v>
      </c>
      <c r="K447" s="9">
        <v>8.5012602745000005E-4</v>
      </c>
      <c r="L447" s="9">
        <v>0.49784485595</v>
      </c>
      <c r="M447">
        <v>567459</v>
      </c>
      <c r="N447">
        <v>20488</v>
      </c>
      <c r="O447" s="9">
        <v>1.7974594478999999E-2</v>
      </c>
      <c r="P447" s="11">
        <f>Telengana_Reaults_2019[[#This Row],[BJP Votes]]-Telengana_Reaults_2019[[#This Row],[Max Votes Other than BJP]]</f>
        <v>-546971</v>
      </c>
      <c r="Q447" s="9">
        <f>Telengana_Reaults_2019[[#This Row],[BJP Vote Share]]-Telengana_Reaults_2019[[#This Row],[Max Votes Share other than BJP]]</f>
        <v>-0.47987026147099998</v>
      </c>
      <c r="R447">
        <v>1139831</v>
      </c>
      <c r="S447">
        <v>1513809</v>
      </c>
      <c r="T447" s="10">
        <v>0.75295562386000003</v>
      </c>
      <c r="U447" s="1" t="s">
        <v>68</v>
      </c>
    </row>
    <row r="448" spans="1:21" x14ac:dyDescent="0.35">
      <c r="A448" s="1" t="s">
        <v>18</v>
      </c>
      <c r="B448" s="1" t="s">
        <v>19</v>
      </c>
      <c r="C448" s="1" t="s">
        <v>1361</v>
      </c>
      <c r="D448" s="1" t="s">
        <v>748</v>
      </c>
      <c r="E448" s="1" t="s">
        <v>21</v>
      </c>
      <c r="F448" s="1" t="s">
        <v>155</v>
      </c>
      <c r="G448" s="1" t="s">
        <v>112</v>
      </c>
      <c r="H448" s="1" t="s">
        <v>53</v>
      </c>
      <c r="I448" s="1" t="s">
        <v>749</v>
      </c>
      <c r="J448">
        <v>872</v>
      </c>
      <c r="K448" s="9">
        <v>7.6502569241000001E-4</v>
      </c>
      <c r="L448" s="9">
        <v>0.49784485595</v>
      </c>
      <c r="M448">
        <v>567459</v>
      </c>
      <c r="N448">
        <v>20488</v>
      </c>
      <c r="O448" s="9">
        <v>1.7974594478999999E-2</v>
      </c>
      <c r="P448" s="11">
        <f>Telengana_Reaults_2019[[#This Row],[BJP Votes]]-Telengana_Reaults_2019[[#This Row],[Max Votes Other than BJP]]</f>
        <v>-546971</v>
      </c>
      <c r="Q448" s="9">
        <f>Telengana_Reaults_2019[[#This Row],[BJP Vote Share]]-Telengana_Reaults_2019[[#This Row],[Max Votes Share other than BJP]]</f>
        <v>-0.47987026147099998</v>
      </c>
      <c r="R448">
        <v>1139831</v>
      </c>
      <c r="S448">
        <v>1513809</v>
      </c>
      <c r="T448" s="10">
        <v>0.75295562386000003</v>
      </c>
      <c r="U448" s="1" t="s">
        <v>68</v>
      </c>
    </row>
    <row r="449" spans="1:21" x14ac:dyDescent="0.35">
      <c r="A449" s="1" t="s">
        <v>18</v>
      </c>
      <c r="B449" s="1" t="s">
        <v>19</v>
      </c>
      <c r="C449" s="1" t="s">
        <v>1361</v>
      </c>
      <c r="D449" s="1" t="s">
        <v>750</v>
      </c>
      <c r="E449" s="1" t="s">
        <v>21</v>
      </c>
      <c r="F449" s="1" t="s">
        <v>104</v>
      </c>
      <c r="G449" s="1" t="s">
        <v>112</v>
      </c>
      <c r="H449" s="1" t="s">
        <v>53</v>
      </c>
      <c r="I449" s="1" t="s">
        <v>63</v>
      </c>
      <c r="J449">
        <v>1154</v>
      </c>
      <c r="K449" s="9">
        <v>1.0124307902E-3</v>
      </c>
      <c r="L449" s="9">
        <v>0.49784485595</v>
      </c>
      <c r="M449">
        <v>567459</v>
      </c>
      <c r="N449">
        <v>20488</v>
      </c>
      <c r="O449" s="9">
        <v>1.7974594478999999E-2</v>
      </c>
      <c r="P449" s="11">
        <f>Telengana_Reaults_2019[[#This Row],[BJP Votes]]-Telengana_Reaults_2019[[#This Row],[Max Votes Other than BJP]]</f>
        <v>-546971</v>
      </c>
      <c r="Q449" s="9">
        <f>Telengana_Reaults_2019[[#This Row],[BJP Vote Share]]-Telengana_Reaults_2019[[#This Row],[Max Votes Share other than BJP]]</f>
        <v>-0.47987026147099998</v>
      </c>
      <c r="R449">
        <v>1139831</v>
      </c>
      <c r="S449">
        <v>1513809</v>
      </c>
      <c r="T449" s="10">
        <v>0.75295562386000003</v>
      </c>
      <c r="U449" s="1" t="s">
        <v>68</v>
      </c>
    </row>
    <row r="450" spans="1:21" x14ac:dyDescent="0.35">
      <c r="A450" s="1" t="s">
        <v>18</v>
      </c>
      <c r="B450" s="1" t="s">
        <v>19</v>
      </c>
      <c r="C450" s="1" t="s">
        <v>1361</v>
      </c>
      <c r="D450" s="1" t="s">
        <v>751</v>
      </c>
      <c r="E450" s="1" t="s">
        <v>21</v>
      </c>
      <c r="F450" s="1" t="s">
        <v>200</v>
      </c>
      <c r="G450" s="1" t="s">
        <v>67</v>
      </c>
      <c r="H450" s="1" t="s">
        <v>53</v>
      </c>
      <c r="I450" s="1" t="s">
        <v>427</v>
      </c>
      <c r="J450">
        <v>1797</v>
      </c>
      <c r="K450" s="9">
        <v>1.5765495059999999E-3</v>
      </c>
      <c r="L450" s="9">
        <v>0.49784485595</v>
      </c>
      <c r="M450">
        <v>567459</v>
      </c>
      <c r="N450">
        <v>20488</v>
      </c>
      <c r="O450" s="9">
        <v>1.7974594478999999E-2</v>
      </c>
      <c r="P450" s="11">
        <f>Telengana_Reaults_2019[[#This Row],[BJP Votes]]-Telengana_Reaults_2019[[#This Row],[Max Votes Other than BJP]]</f>
        <v>-546971</v>
      </c>
      <c r="Q450" s="9">
        <f>Telengana_Reaults_2019[[#This Row],[BJP Vote Share]]-Telengana_Reaults_2019[[#This Row],[Max Votes Share other than BJP]]</f>
        <v>-0.47987026147099998</v>
      </c>
      <c r="R450">
        <v>1139831</v>
      </c>
      <c r="S450">
        <v>1513809</v>
      </c>
      <c r="T450" s="10">
        <v>0.75295562386000003</v>
      </c>
      <c r="U450" s="1" t="s">
        <v>68</v>
      </c>
    </row>
    <row r="451" spans="1:21" x14ac:dyDescent="0.35">
      <c r="A451" s="1" t="s">
        <v>18</v>
      </c>
      <c r="B451" s="1" t="s">
        <v>19</v>
      </c>
      <c r="C451" s="1" t="s">
        <v>1361</v>
      </c>
      <c r="D451" s="1" t="s">
        <v>752</v>
      </c>
      <c r="E451" s="1" t="s">
        <v>21</v>
      </c>
      <c r="F451" s="1" t="s">
        <v>125</v>
      </c>
      <c r="G451" s="1" t="s">
        <v>23</v>
      </c>
      <c r="H451" s="1" t="s">
        <v>53</v>
      </c>
      <c r="I451" s="1" t="s">
        <v>89</v>
      </c>
      <c r="J451">
        <v>2485</v>
      </c>
      <c r="K451" s="9">
        <v>2.1801477586999999E-3</v>
      </c>
      <c r="L451" s="9">
        <v>0.49784485595</v>
      </c>
      <c r="M451">
        <v>567459</v>
      </c>
      <c r="N451">
        <v>20488</v>
      </c>
      <c r="O451" s="9">
        <v>1.7974594478999999E-2</v>
      </c>
      <c r="P451" s="11">
        <f>Telengana_Reaults_2019[[#This Row],[BJP Votes]]-Telengana_Reaults_2019[[#This Row],[Max Votes Other than BJP]]</f>
        <v>-546971</v>
      </c>
      <c r="Q451" s="9">
        <f>Telengana_Reaults_2019[[#This Row],[BJP Vote Share]]-Telengana_Reaults_2019[[#This Row],[Max Votes Share other than BJP]]</f>
        <v>-0.47987026147099998</v>
      </c>
      <c r="R451">
        <v>1139831</v>
      </c>
      <c r="S451">
        <v>1513809</v>
      </c>
      <c r="T451" s="10">
        <v>0.75295562386000003</v>
      </c>
      <c r="U451" s="1" t="s">
        <v>68</v>
      </c>
    </row>
    <row r="452" spans="1:21" x14ac:dyDescent="0.35">
      <c r="A452" s="1" t="s">
        <v>18</v>
      </c>
      <c r="B452" s="1" t="s">
        <v>19</v>
      </c>
      <c r="C452" s="1" t="s">
        <v>1361</v>
      </c>
      <c r="D452" s="1" t="s">
        <v>753</v>
      </c>
      <c r="E452" s="1" t="s">
        <v>21</v>
      </c>
      <c r="F452" s="1" t="s">
        <v>145</v>
      </c>
      <c r="G452" s="1" t="s">
        <v>112</v>
      </c>
      <c r="H452" s="1" t="s">
        <v>53</v>
      </c>
      <c r="I452" s="1" t="s">
        <v>242</v>
      </c>
      <c r="J452">
        <v>11520</v>
      </c>
      <c r="K452" s="9">
        <v>1.0106761440999999E-2</v>
      </c>
      <c r="L452" s="9">
        <v>0.49784485595</v>
      </c>
      <c r="M452">
        <v>567459</v>
      </c>
      <c r="N452">
        <v>20488</v>
      </c>
      <c r="O452" s="9">
        <v>1.7974594478999999E-2</v>
      </c>
      <c r="P452" s="11">
        <f>Telengana_Reaults_2019[[#This Row],[BJP Votes]]-Telengana_Reaults_2019[[#This Row],[Max Votes Other than BJP]]</f>
        <v>-546971</v>
      </c>
      <c r="Q452" s="9">
        <f>Telengana_Reaults_2019[[#This Row],[BJP Vote Share]]-Telengana_Reaults_2019[[#This Row],[Max Votes Share other than BJP]]</f>
        <v>-0.47987026147099998</v>
      </c>
      <c r="R452">
        <v>1139831</v>
      </c>
      <c r="S452">
        <v>1513809</v>
      </c>
      <c r="T452" s="10">
        <v>0.75295562386000003</v>
      </c>
      <c r="U452" s="1" t="s">
        <v>68</v>
      </c>
    </row>
    <row r="453" spans="1:21" x14ac:dyDescent="0.35">
      <c r="A453" s="1" t="s">
        <v>18</v>
      </c>
      <c r="B453" s="1" t="s">
        <v>19</v>
      </c>
      <c r="C453" s="1" t="s">
        <v>1361</v>
      </c>
      <c r="D453" s="1" t="s">
        <v>754</v>
      </c>
      <c r="E453" s="1" t="s">
        <v>21</v>
      </c>
      <c r="F453" s="1" t="s">
        <v>145</v>
      </c>
      <c r="G453" s="1" t="s">
        <v>112</v>
      </c>
      <c r="H453" s="1" t="s">
        <v>53</v>
      </c>
      <c r="I453" s="1" t="s">
        <v>461</v>
      </c>
      <c r="J453">
        <v>9949</v>
      </c>
      <c r="K453" s="9">
        <v>8.7284869424000006E-3</v>
      </c>
      <c r="L453" s="9">
        <v>0.49784485595</v>
      </c>
      <c r="M453">
        <v>567459</v>
      </c>
      <c r="N453">
        <v>20488</v>
      </c>
      <c r="O453" s="9">
        <v>1.7974594478999999E-2</v>
      </c>
      <c r="P453" s="11">
        <f>Telengana_Reaults_2019[[#This Row],[BJP Votes]]-Telengana_Reaults_2019[[#This Row],[Max Votes Other than BJP]]</f>
        <v>-546971</v>
      </c>
      <c r="Q453" s="9">
        <f>Telengana_Reaults_2019[[#This Row],[BJP Vote Share]]-Telengana_Reaults_2019[[#This Row],[Max Votes Share other than BJP]]</f>
        <v>-0.47987026147099998</v>
      </c>
      <c r="R453">
        <v>1139831</v>
      </c>
      <c r="S453">
        <v>1513809</v>
      </c>
      <c r="T453" s="10">
        <v>0.75295562386000003</v>
      </c>
      <c r="U453" s="1" t="s">
        <v>68</v>
      </c>
    </row>
    <row r="454" spans="1:21" x14ac:dyDescent="0.35">
      <c r="A454" s="1" t="s">
        <v>18</v>
      </c>
      <c r="B454" s="1" t="s">
        <v>19</v>
      </c>
      <c r="C454" s="1" t="s">
        <v>1361</v>
      </c>
      <c r="D454" s="1" t="s">
        <v>755</v>
      </c>
      <c r="E454" s="1" t="s">
        <v>21</v>
      </c>
      <c r="F454" s="1" t="s">
        <v>173</v>
      </c>
      <c r="G454" s="1" t="s">
        <v>112</v>
      </c>
      <c r="H454" s="1" t="s">
        <v>53</v>
      </c>
      <c r="I454" s="1" t="s">
        <v>167</v>
      </c>
      <c r="J454">
        <v>1506</v>
      </c>
      <c r="K454" s="9">
        <v>1.3212485009E-3</v>
      </c>
      <c r="L454" s="9">
        <v>0.49784485595</v>
      </c>
      <c r="M454">
        <v>567459</v>
      </c>
      <c r="N454">
        <v>20488</v>
      </c>
      <c r="O454" s="9">
        <v>1.7974594478999999E-2</v>
      </c>
      <c r="P454" s="11">
        <f>Telengana_Reaults_2019[[#This Row],[BJP Votes]]-Telengana_Reaults_2019[[#This Row],[Max Votes Other than BJP]]</f>
        <v>-546971</v>
      </c>
      <c r="Q454" s="9">
        <f>Telengana_Reaults_2019[[#This Row],[BJP Vote Share]]-Telengana_Reaults_2019[[#This Row],[Max Votes Share other than BJP]]</f>
        <v>-0.47987026147099998</v>
      </c>
      <c r="R454">
        <v>1139831</v>
      </c>
      <c r="S454">
        <v>1513809</v>
      </c>
      <c r="T454" s="10">
        <v>0.75295562386000003</v>
      </c>
      <c r="U454" s="1" t="s">
        <v>68</v>
      </c>
    </row>
    <row r="455" spans="1:21" x14ac:dyDescent="0.35">
      <c r="A455" s="1" t="s">
        <v>18</v>
      </c>
      <c r="B455" s="1" t="s">
        <v>19</v>
      </c>
      <c r="C455" s="1" t="s">
        <v>1361</v>
      </c>
      <c r="D455" s="1" t="s">
        <v>756</v>
      </c>
      <c r="E455" s="1" t="s">
        <v>21</v>
      </c>
      <c r="F455" s="1" t="s">
        <v>200</v>
      </c>
      <c r="G455" s="1" t="s">
        <v>112</v>
      </c>
      <c r="H455" s="1" t="s">
        <v>53</v>
      </c>
      <c r="I455" s="1" t="s">
        <v>102</v>
      </c>
      <c r="J455">
        <v>10148</v>
      </c>
      <c r="K455" s="9">
        <v>8.9030742276999999E-3</v>
      </c>
      <c r="L455" s="9">
        <v>0.49784485595</v>
      </c>
      <c r="M455">
        <v>567459</v>
      </c>
      <c r="N455">
        <v>20488</v>
      </c>
      <c r="O455" s="9">
        <v>1.7974594478999999E-2</v>
      </c>
      <c r="P455" s="11">
        <f>Telengana_Reaults_2019[[#This Row],[BJP Votes]]-Telengana_Reaults_2019[[#This Row],[Max Votes Other than BJP]]</f>
        <v>-546971</v>
      </c>
      <c r="Q455" s="9">
        <f>Telengana_Reaults_2019[[#This Row],[BJP Vote Share]]-Telengana_Reaults_2019[[#This Row],[Max Votes Share other than BJP]]</f>
        <v>-0.47987026147099998</v>
      </c>
      <c r="R455">
        <v>1139831</v>
      </c>
      <c r="S455">
        <v>1513809</v>
      </c>
      <c r="T455" s="10">
        <v>0.75295562386000003</v>
      </c>
      <c r="U455" s="1" t="s">
        <v>68</v>
      </c>
    </row>
    <row r="456" spans="1:21" x14ac:dyDescent="0.35">
      <c r="A456" s="1" t="s">
        <v>18</v>
      </c>
      <c r="B456" s="1" t="s">
        <v>19</v>
      </c>
      <c r="C456" s="1" t="s">
        <v>1361</v>
      </c>
      <c r="D456" s="1" t="s">
        <v>757</v>
      </c>
      <c r="E456" s="1" t="s">
        <v>21</v>
      </c>
      <c r="F456" s="1" t="s">
        <v>703</v>
      </c>
      <c r="G456" s="1" t="s">
        <v>112</v>
      </c>
      <c r="H456" s="1" t="s">
        <v>53</v>
      </c>
      <c r="I456" s="1" t="s">
        <v>284</v>
      </c>
      <c r="J456">
        <v>2739</v>
      </c>
      <c r="K456" s="9">
        <v>2.4029878113999998E-3</v>
      </c>
      <c r="L456" s="9">
        <v>0.49784485595</v>
      </c>
      <c r="M456">
        <v>567459</v>
      </c>
      <c r="N456">
        <v>20488</v>
      </c>
      <c r="O456" s="9">
        <v>1.7974594478999999E-2</v>
      </c>
      <c r="P456" s="11">
        <f>Telengana_Reaults_2019[[#This Row],[BJP Votes]]-Telengana_Reaults_2019[[#This Row],[Max Votes Other than BJP]]</f>
        <v>-546971</v>
      </c>
      <c r="Q456" s="9">
        <f>Telengana_Reaults_2019[[#This Row],[BJP Vote Share]]-Telengana_Reaults_2019[[#This Row],[Max Votes Share other than BJP]]</f>
        <v>-0.47987026147099998</v>
      </c>
      <c r="R456">
        <v>1139831</v>
      </c>
      <c r="S456">
        <v>1513809</v>
      </c>
      <c r="T456" s="10">
        <v>0.75295562386000003</v>
      </c>
      <c r="U456" s="1" t="s">
        <v>68</v>
      </c>
    </row>
    <row r="457" spans="1:21" x14ac:dyDescent="0.35">
      <c r="A457" s="1" t="s">
        <v>18</v>
      </c>
      <c r="B457" s="1" t="s">
        <v>19</v>
      </c>
      <c r="C457" s="1" t="s">
        <v>1361</v>
      </c>
      <c r="D457" s="1" t="s">
        <v>758</v>
      </c>
      <c r="E457" s="1" t="s">
        <v>21</v>
      </c>
      <c r="F457" s="1" t="s">
        <v>52</v>
      </c>
      <c r="G457" s="1" t="s">
        <v>112</v>
      </c>
      <c r="H457" s="1" t="s">
        <v>53</v>
      </c>
      <c r="I457" s="1" t="s">
        <v>432</v>
      </c>
      <c r="J457">
        <v>4704</v>
      </c>
      <c r="K457" s="9">
        <v>4.1269275883999996E-3</v>
      </c>
      <c r="L457" s="9">
        <v>0.49784485595</v>
      </c>
      <c r="M457">
        <v>567459</v>
      </c>
      <c r="N457">
        <v>20488</v>
      </c>
      <c r="O457" s="9">
        <v>1.7974594478999999E-2</v>
      </c>
      <c r="P457" s="11">
        <f>Telengana_Reaults_2019[[#This Row],[BJP Votes]]-Telengana_Reaults_2019[[#This Row],[Max Votes Other than BJP]]</f>
        <v>-546971</v>
      </c>
      <c r="Q457" s="9">
        <f>Telengana_Reaults_2019[[#This Row],[BJP Vote Share]]-Telengana_Reaults_2019[[#This Row],[Max Votes Share other than BJP]]</f>
        <v>-0.47987026147099998</v>
      </c>
      <c r="R457">
        <v>1139831</v>
      </c>
      <c r="S457">
        <v>1513809</v>
      </c>
      <c r="T457" s="10">
        <v>0.75295562386000003</v>
      </c>
      <c r="U457" s="1" t="s">
        <v>68</v>
      </c>
    </row>
    <row r="458" spans="1:21" x14ac:dyDescent="0.35">
      <c r="A458" s="1" t="s">
        <v>18</v>
      </c>
      <c r="B458" s="1" t="s">
        <v>19</v>
      </c>
      <c r="C458" s="1" t="s">
        <v>1361</v>
      </c>
      <c r="D458" s="1" t="s">
        <v>759</v>
      </c>
      <c r="E458" s="1" t="s">
        <v>21</v>
      </c>
      <c r="F458" s="1" t="s">
        <v>205</v>
      </c>
      <c r="G458" s="1" t="s">
        <v>112</v>
      </c>
      <c r="H458" s="1" t="s">
        <v>53</v>
      </c>
      <c r="I458" s="1" t="s">
        <v>161</v>
      </c>
      <c r="J458">
        <v>2220</v>
      </c>
      <c r="K458" s="9">
        <v>1.9476571527E-3</v>
      </c>
      <c r="L458" s="9">
        <v>0.49784485595</v>
      </c>
      <c r="M458">
        <v>567459</v>
      </c>
      <c r="N458">
        <v>20488</v>
      </c>
      <c r="O458" s="9">
        <v>1.7974594478999999E-2</v>
      </c>
      <c r="P458" s="11">
        <f>Telengana_Reaults_2019[[#This Row],[BJP Votes]]-Telengana_Reaults_2019[[#This Row],[Max Votes Other than BJP]]</f>
        <v>-546971</v>
      </c>
      <c r="Q458" s="9">
        <f>Telengana_Reaults_2019[[#This Row],[BJP Vote Share]]-Telengana_Reaults_2019[[#This Row],[Max Votes Share other than BJP]]</f>
        <v>-0.47987026147099998</v>
      </c>
      <c r="R458">
        <v>1139831</v>
      </c>
      <c r="S458">
        <v>1513809</v>
      </c>
      <c r="T458" s="10">
        <v>0.75295562386000003</v>
      </c>
      <c r="U458" s="1" t="s">
        <v>68</v>
      </c>
    </row>
    <row r="459" spans="1:21" x14ac:dyDescent="0.35">
      <c r="A459" s="1" t="s">
        <v>18</v>
      </c>
      <c r="B459" s="1" t="s">
        <v>19</v>
      </c>
      <c r="C459" s="1" t="s">
        <v>1361</v>
      </c>
      <c r="D459" s="1" t="s">
        <v>760</v>
      </c>
      <c r="E459" s="1" t="s">
        <v>21</v>
      </c>
      <c r="F459" s="1" t="s">
        <v>104</v>
      </c>
      <c r="G459" s="1" t="s">
        <v>23</v>
      </c>
      <c r="H459" s="1" t="s">
        <v>53</v>
      </c>
      <c r="I459" s="1" t="s">
        <v>398</v>
      </c>
      <c r="J459">
        <v>734</v>
      </c>
      <c r="K459" s="9">
        <v>6.4395511263999996E-4</v>
      </c>
      <c r="L459" s="9">
        <v>0.49784485595</v>
      </c>
      <c r="M459">
        <v>567459</v>
      </c>
      <c r="N459">
        <v>20488</v>
      </c>
      <c r="O459" s="9">
        <v>1.7974594478999999E-2</v>
      </c>
      <c r="P459" s="11">
        <f>Telengana_Reaults_2019[[#This Row],[BJP Votes]]-Telengana_Reaults_2019[[#This Row],[Max Votes Other than BJP]]</f>
        <v>-546971</v>
      </c>
      <c r="Q459" s="9">
        <f>Telengana_Reaults_2019[[#This Row],[BJP Vote Share]]-Telengana_Reaults_2019[[#This Row],[Max Votes Share other than BJP]]</f>
        <v>-0.47987026147099998</v>
      </c>
      <c r="R459">
        <v>1139831</v>
      </c>
      <c r="S459">
        <v>1513809</v>
      </c>
      <c r="T459" s="10">
        <v>0.75295562386000003</v>
      </c>
      <c r="U459" s="1" t="s">
        <v>68</v>
      </c>
    </row>
    <row r="460" spans="1:21" x14ac:dyDescent="0.35">
      <c r="A460" s="1" t="s">
        <v>18</v>
      </c>
      <c r="B460" s="1" t="s">
        <v>19</v>
      </c>
      <c r="C460" s="1" t="s">
        <v>1361</v>
      </c>
      <c r="D460" s="1" t="s">
        <v>761</v>
      </c>
      <c r="E460" s="1" t="s">
        <v>21</v>
      </c>
      <c r="F460" s="1" t="s">
        <v>234</v>
      </c>
      <c r="G460" s="1" t="s">
        <v>67</v>
      </c>
      <c r="H460" s="1" t="s">
        <v>53</v>
      </c>
      <c r="I460" s="1" t="s">
        <v>110</v>
      </c>
      <c r="J460">
        <v>2024</v>
      </c>
      <c r="K460" s="9">
        <v>1.7757018365000001E-3</v>
      </c>
      <c r="L460" s="9">
        <v>0.49784485595</v>
      </c>
      <c r="M460">
        <v>567459</v>
      </c>
      <c r="N460">
        <v>20488</v>
      </c>
      <c r="O460" s="9">
        <v>1.7974594478999999E-2</v>
      </c>
      <c r="P460" s="11">
        <f>Telengana_Reaults_2019[[#This Row],[BJP Votes]]-Telengana_Reaults_2019[[#This Row],[Max Votes Other than BJP]]</f>
        <v>-546971</v>
      </c>
      <c r="Q460" s="9">
        <f>Telengana_Reaults_2019[[#This Row],[BJP Vote Share]]-Telengana_Reaults_2019[[#This Row],[Max Votes Share other than BJP]]</f>
        <v>-0.47987026147099998</v>
      </c>
      <c r="R460">
        <v>1139831</v>
      </c>
      <c r="S460">
        <v>1513809</v>
      </c>
      <c r="T460" s="10">
        <v>0.75295562386000003</v>
      </c>
      <c r="U460" s="1" t="s">
        <v>68</v>
      </c>
    </row>
    <row r="461" spans="1:21" x14ac:dyDescent="0.35">
      <c r="A461" s="1" t="s">
        <v>18</v>
      </c>
      <c r="B461" s="1" t="s">
        <v>19</v>
      </c>
      <c r="C461" s="1" t="s">
        <v>1361</v>
      </c>
      <c r="D461" s="1" t="s">
        <v>64</v>
      </c>
      <c r="E461" s="1" t="s">
        <v>64</v>
      </c>
      <c r="F461" s="1" t="s">
        <v>64</v>
      </c>
      <c r="G461" s="1" t="s">
        <v>64</v>
      </c>
      <c r="H461" s="1" t="s">
        <v>64</v>
      </c>
      <c r="I461" s="1" t="s">
        <v>64</v>
      </c>
      <c r="J461">
        <v>15832</v>
      </c>
      <c r="K461" s="9">
        <v>1.3889778397000001E-2</v>
      </c>
      <c r="L461" s="9">
        <v>0.49784485595</v>
      </c>
      <c r="M461">
        <v>567459</v>
      </c>
      <c r="N461">
        <v>20488</v>
      </c>
      <c r="O461" s="9">
        <v>1.7974594478999999E-2</v>
      </c>
      <c r="P461" s="11">
        <f>Telengana_Reaults_2019[[#This Row],[BJP Votes]]-Telengana_Reaults_2019[[#This Row],[Max Votes Other than BJP]]</f>
        <v>-546971</v>
      </c>
      <c r="Q461" s="9">
        <f>Telengana_Reaults_2019[[#This Row],[BJP Vote Share]]-Telengana_Reaults_2019[[#This Row],[Max Votes Share other than BJP]]</f>
        <v>-0.47987026147099998</v>
      </c>
      <c r="R461">
        <v>1139831</v>
      </c>
      <c r="S461">
        <v>1513809</v>
      </c>
      <c r="T461" s="10">
        <v>0.75295562386000003</v>
      </c>
      <c r="U461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0E26-9ADE-4B78-AA02-8A968BEF1618}">
  <dimension ref="A1:I18"/>
  <sheetViews>
    <sheetView workbookViewId="0">
      <selection activeCell="I2" sqref="I2:I18"/>
    </sheetView>
  </sheetViews>
  <sheetFormatPr defaultRowHeight="14.5" x14ac:dyDescent="0.35"/>
  <cols>
    <col min="2" max="2" width="13.1796875" customWidth="1"/>
    <col min="3" max="3" width="21.7265625" customWidth="1"/>
    <col min="4" max="4" width="26.26953125" customWidth="1"/>
    <col min="5" max="5" width="21.7265625" customWidth="1"/>
    <col min="6" max="6" width="26.26953125" style="9" customWidth="1"/>
    <col min="7" max="7" width="21.1796875" customWidth="1"/>
    <col min="8" max="8" width="25.7265625" style="9" customWidth="1"/>
    <col min="9" max="9" width="21.36328125" customWidth="1"/>
  </cols>
  <sheetData>
    <row r="1" spans="1:9" x14ac:dyDescent="0.35">
      <c r="A1" t="s">
        <v>1396</v>
      </c>
      <c r="B1" t="s">
        <v>764</v>
      </c>
      <c r="C1" t="s">
        <v>1397</v>
      </c>
      <c r="D1" t="s">
        <v>1398</v>
      </c>
      <c r="E1" t="s">
        <v>1404</v>
      </c>
      <c r="F1" s="9" t="s">
        <v>1405</v>
      </c>
      <c r="G1" t="s">
        <v>1399</v>
      </c>
      <c r="H1" s="9" t="s">
        <v>1400</v>
      </c>
      <c r="I1" t="s">
        <v>1401</v>
      </c>
    </row>
    <row r="2" spans="1:9" x14ac:dyDescent="0.35">
      <c r="A2">
        <v>1</v>
      </c>
      <c r="B2" t="s">
        <v>781</v>
      </c>
      <c r="C2">
        <f>VLOOKUP(B2,Telengana_Reaults_2019[[#All],[PC Name]:[BJP_STATUS]],14,FALSE)</f>
        <v>58560</v>
      </c>
      <c r="D2" s="9">
        <f>VLOOKUP(B2,Telengana_Reaults_2019[[#All],[PC Name]:[BJP_STATUS]],15,FALSE)</f>
        <v>5.5051563829999983E-2</v>
      </c>
      <c r="E2">
        <f>VLOOKUP(Table3[[#This Row],[PC Name]],Telengana_Results_2024[[PC Name]:[BJP STATUS]],16,FALSE)</f>
        <v>90652</v>
      </c>
      <c r="F2" s="9">
        <f>VLOOKUP(Table3[[#This Row],[PC Name]],Telengana_Results_2024[[PC Name]:[BJP STATUS]],17,FALSE)</f>
        <v>7.407207670999999E-2</v>
      </c>
      <c r="G2">
        <f>(Table3[[#This Row],[BJP Margin Votes 2024]]+Table3[[#This Row],[BJP Margin Votes 2019]])/2</f>
        <v>74606</v>
      </c>
      <c r="H2" s="9">
        <f>(Table3[[#This Row],[BJP Margin Percentage 2024]]+Table3[[#This Row],[BJP Margin Percentage 2019]])/2</f>
        <v>6.4561820269999987E-2</v>
      </c>
      <c r="I2" t="str">
        <f>_xlfn.IFS(H2&gt;=0.1,"Strong Hold", H2&gt;=0.05,"Average Hold", H2&gt;=-0.05,"Weak Hold", TRUE, "Very Vulnerable Hold")</f>
        <v>Average Hold</v>
      </c>
    </row>
    <row r="3" spans="1:9" x14ac:dyDescent="0.35">
      <c r="A3">
        <v>2</v>
      </c>
      <c r="B3" t="s">
        <v>805</v>
      </c>
      <c r="C3">
        <f>VLOOKUP(B3,Telengana_Reaults_2019[[#All],[PC Name]:[BJP_STATUS]],14,FALSE)</f>
        <v>-348715</v>
      </c>
      <c r="D3" s="9">
        <f>VLOOKUP(B3,Telengana_Reaults_2019[[#All],[PC Name]:[BJP_STATUS]],15,FALSE)</f>
        <v>-0.35948109944500001</v>
      </c>
      <c r="E3">
        <f>VLOOKUP(Table3[[#This Row],[PC Name]],Telengana_Results_2024[[PC Name]:[BJP STATUS]],16,FALSE)</f>
        <v>-131364</v>
      </c>
      <c r="F3" s="9">
        <f>VLOOKUP(Table3[[#This Row],[PC Name]],Telengana_Results_2024[[PC Name]:[BJP STATUS]],17,FALSE)</f>
        <v>-0.1205634444</v>
      </c>
      <c r="G3">
        <f>(Table3[[#This Row],[BJP Margin Votes 2024]]+Table3[[#This Row],[BJP Margin Votes 2019]])/2</f>
        <v>-240039.5</v>
      </c>
      <c r="H3" s="9">
        <f>(Table3[[#This Row],[BJP Margin Percentage 2024]]+Table3[[#This Row],[BJP Margin Percentage 2019]])/2</f>
        <v>-0.2400222719225</v>
      </c>
      <c r="I3" t="str">
        <f t="shared" ref="I3:I18" si="0">_xlfn.IFS(H3&gt;=0.1,"Strong Hold", H3&gt;=0.05,"Average Hold", H3&gt;=-0.05,"Weak Hold", TRUE, "Very Vulnerable Hold")</f>
        <v>Very Vulnerable Hold</v>
      </c>
    </row>
    <row r="4" spans="1:9" x14ac:dyDescent="0.35">
      <c r="A4">
        <v>3</v>
      </c>
      <c r="B4" t="s">
        <v>869</v>
      </c>
      <c r="C4">
        <f>VLOOKUP(B4,Telengana_Reaults_2019[[#All],[PC Name]:[BJP_STATUS]],14,FALSE)</f>
        <v>89508</v>
      </c>
      <c r="D4" s="9">
        <f>VLOOKUP(B4,Telengana_Reaults_2019[[#All],[PC Name]:[BJP_STATUS]],15,FALSE)</f>
        <v>7.7989225380000027E-2</v>
      </c>
      <c r="E4">
        <f>VLOOKUP(Table3[[#This Row],[PC Name]],Telengana_Results_2024[[PC Name]:[BJP STATUS]],16,FALSE)</f>
        <v>225209</v>
      </c>
      <c r="F4" s="9">
        <f>VLOOKUP(Table3[[#This Row],[PC Name]],Telengana_Results_2024[[PC Name]:[BJP STATUS]],17,FALSE)</f>
        <v>0.17225530704000003</v>
      </c>
      <c r="G4">
        <f>(Table3[[#This Row],[BJP Margin Votes 2024]]+Table3[[#This Row],[BJP Margin Votes 2019]])/2</f>
        <v>157358.5</v>
      </c>
      <c r="H4" s="9">
        <f>(Table3[[#This Row],[BJP Margin Percentage 2024]]+Table3[[#This Row],[BJP Margin Percentage 2019]])/2</f>
        <v>0.12512226621000003</v>
      </c>
      <c r="I4" t="str">
        <f t="shared" si="0"/>
        <v>Strong Hold</v>
      </c>
    </row>
    <row r="5" spans="1:9" x14ac:dyDescent="0.35">
      <c r="A5">
        <v>4</v>
      </c>
      <c r="B5" t="s">
        <v>140</v>
      </c>
      <c r="C5">
        <f>VLOOKUP(B5,Telengana_Reaults_2019[[#All],[PC Name]:[BJP_STATUS]],14,FALSE)</f>
        <v>70875</v>
      </c>
      <c r="D5" s="9">
        <f>VLOOKUP(B5,Telengana_Reaults_2019[[#All],[PC Name]:[BJP_STATUS]],15,FALSE)</f>
        <v>6.6689061019999996E-2</v>
      </c>
      <c r="E5">
        <f>VLOOKUP(Table3[[#This Row],[PC Name]],Telengana_Results_2024[[PC Name]:[BJP STATUS]],16,FALSE)</f>
        <v>109241</v>
      </c>
      <c r="F5" s="9">
        <f>VLOOKUP(Table3[[#This Row],[PC Name]],Telengana_Results_2024[[PC Name]:[BJP STATUS]],17,FALSE)</f>
        <v>8.887899907000002E-2</v>
      </c>
      <c r="G5">
        <f>(Table3[[#This Row],[BJP Margin Votes 2024]]+Table3[[#This Row],[BJP Margin Votes 2019]])/2</f>
        <v>90058</v>
      </c>
      <c r="H5" s="9">
        <f>(Table3[[#This Row],[BJP Margin Percentage 2024]]+Table3[[#This Row],[BJP Margin Percentage 2019]])/2</f>
        <v>7.7784030045000008E-2</v>
      </c>
      <c r="I5" t="str">
        <f t="shared" si="0"/>
        <v>Average Hold</v>
      </c>
    </row>
    <row r="6" spans="1:9" x14ac:dyDescent="0.35">
      <c r="A6">
        <v>5</v>
      </c>
      <c r="B6" t="s">
        <v>503</v>
      </c>
      <c r="C6">
        <f>VLOOKUP(B6,Telengana_Reaults_2019[[#All],[PC Name]:[BJP_STATUS]],14,FALSE)</f>
        <v>-295297</v>
      </c>
      <c r="D6" s="9">
        <f>VLOOKUP(B6,Telengana_Reaults_2019[[#All],[PC Name]:[BJP_STATUS]],15,FALSE)</f>
        <v>-0.28275267746999999</v>
      </c>
      <c r="E6">
        <f>VLOOKUP(Table3[[#This Row],[PC Name]],Telengana_Results_2024[[PC Name]:[BJP STATUS]],16,FALSE)</f>
        <v>-46188</v>
      </c>
      <c r="F6" s="9">
        <f>VLOOKUP(Table3[[#This Row],[PC Name]],Telengana_Results_2024[[PC Name]:[BJP STATUS]],17,FALSE)</f>
        <v>-3.7441148620000031E-2</v>
      </c>
      <c r="G6">
        <f>(Table3[[#This Row],[BJP Margin Votes 2024]]+Table3[[#This Row],[BJP Margin Votes 2019]])/2</f>
        <v>-170742.5</v>
      </c>
      <c r="H6" s="9">
        <f>(Table3[[#This Row],[BJP Margin Percentage 2024]]+Table3[[#This Row],[BJP Margin Percentage 2019]])/2</f>
        <v>-0.16009691304500001</v>
      </c>
      <c r="I6" t="str">
        <f t="shared" si="0"/>
        <v>Very Vulnerable Hold</v>
      </c>
    </row>
    <row r="7" spans="1:9" x14ac:dyDescent="0.35">
      <c r="A7">
        <v>6</v>
      </c>
      <c r="B7" t="s">
        <v>518</v>
      </c>
      <c r="C7">
        <f>VLOOKUP(B7,Telengana_Reaults_2019[[#All],[PC Name]:[BJP_STATUS]],14,FALSE)</f>
        <v>-394481</v>
      </c>
      <c r="D7" s="9">
        <f>VLOOKUP(B7,Telengana_Reaults_2019[[#All],[PC Name]:[BJP_STATUS]],15,FALSE)</f>
        <v>-0.34296045200999997</v>
      </c>
      <c r="E7">
        <f>VLOOKUP(Table3[[#This Row],[PC Name]],Telengana_Results_2024[[PC Name]:[BJP STATUS]],16,FALSE)</f>
        <v>39139</v>
      </c>
      <c r="F7" s="9">
        <f>VLOOKUP(Table3[[#This Row],[PC Name]],Telengana_Results_2024[[PC Name]:[BJP STATUS]],17,FALSE)</f>
        <v>2.832829818999999E-2</v>
      </c>
      <c r="G7">
        <f>(Table3[[#This Row],[BJP Margin Votes 2024]]+Table3[[#This Row],[BJP Margin Votes 2019]])/2</f>
        <v>-177671</v>
      </c>
      <c r="H7" s="9">
        <f>(Table3[[#This Row],[BJP Margin Percentage 2024]]+Table3[[#This Row],[BJP Margin Percentage 2019]])/2</f>
        <v>-0.15731607690999999</v>
      </c>
      <c r="I7" t="str">
        <f t="shared" si="0"/>
        <v>Very Vulnerable Hold</v>
      </c>
    </row>
    <row r="8" spans="1:9" x14ac:dyDescent="0.35">
      <c r="A8">
        <v>7</v>
      </c>
      <c r="B8" t="s">
        <v>531</v>
      </c>
      <c r="C8">
        <f>VLOOKUP(B8,Telengana_Reaults_2019[[#All],[PC Name]:[BJP_STATUS]],14,FALSE)</f>
        <v>-299466</v>
      </c>
      <c r="D8" s="9">
        <f>VLOOKUP(B8,Telengana_Reaults_2019[[#All],[PC Name]:[BJP_STATUS]],15,FALSE)</f>
        <v>-0.19158920657999998</v>
      </c>
      <c r="E8">
        <f>VLOOKUP(Table3[[#This Row],[PC Name]],Telengana_Results_2024[[PC Name]:[BJP STATUS]],16,FALSE)</f>
        <v>391475</v>
      </c>
      <c r="F8" s="9">
        <f>VLOOKUP(Table3[[#This Row],[PC Name]],Telengana_Results_2024[[PC Name]:[BJP STATUS]],17,FALSE)</f>
        <v>0.20384258703000002</v>
      </c>
      <c r="G8">
        <f>(Table3[[#This Row],[BJP Margin Votes 2024]]+Table3[[#This Row],[BJP Margin Votes 2019]])/2</f>
        <v>46004.5</v>
      </c>
      <c r="H8" s="9">
        <f>(Table3[[#This Row],[BJP Margin Percentage 2024]]+Table3[[#This Row],[BJP Margin Percentage 2019]])/2</f>
        <v>6.1266902250000227E-3</v>
      </c>
      <c r="I8" t="str">
        <f t="shared" si="0"/>
        <v>Weak Hold</v>
      </c>
    </row>
    <row r="9" spans="1:9" x14ac:dyDescent="0.35">
      <c r="A9">
        <v>8</v>
      </c>
      <c r="B9" t="s">
        <v>546</v>
      </c>
      <c r="C9">
        <f>VLOOKUP(B9,Telengana_Reaults_2019[[#All],[PC Name]:[BJP_STATUS]],14,FALSE)</f>
        <v>62114</v>
      </c>
      <c r="D9" s="9">
        <f>VLOOKUP(B9,Telengana_Reaults_2019[[#All],[PC Name]:[BJP_STATUS]],15,FALSE)</f>
        <v>6.787628974000004E-2</v>
      </c>
      <c r="E9">
        <f>VLOOKUP(Table3[[#This Row],[PC Name]],Telengana_Results_2024[[PC Name]:[BJP STATUS]],16,FALSE)</f>
        <v>49944</v>
      </c>
      <c r="F9" s="9">
        <f>VLOOKUP(Table3[[#This Row],[PC Name]],Telengana_Results_2024[[PC Name]:[BJP STATUS]],17,FALSE)</f>
        <v>4.7908235359999995E-2</v>
      </c>
      <c r="G9">
        <f>(Table3[[#This Row],[BJP Margin Votes 2024]]+Table3[[#This Row],[BJP Margin Votes 2019]])/2</f>
        <v>56029</v>
      </c>
      <c r="H9" s="9">
        <f>(Table3[[#This Row],[BJP Margin Percentage 2024]]+Table3[[#This Row],[BJP Margin Percentage 2019]])/2</f>
        <v>5.7892262550000018E-2</v>
      </c>
      <c r="I9" t="str">
        <f t="shared" si="0"/>
        <v>Average Hold</v>
      </c>
    </row>
    <row r="10" spans="1:9" x14ac:dyDescent="0.35">
      <c r="A10">
        <v>9</v>
      </c>
      <c r="B10" t="s">
        <v>580</v>
      </c>
      <c r="C10">
        <f>VLOOKUP(B10,Telengana_Reaults_2019[[#All],[PC Name]:[BJP_STATUS]],14,FALSE)</f>
        <v>-282186</v>
      </c>
      <c r="D10" s="9">
        <f>VLOOKUP(B10,Telengana_Reaults_2019[[#All],[PC Name]:[BJP_STATUS]],15,FALSE)</f>
        <v>-0.32144321723000008</v>
      </c>
      <c r="E10">
        <f>VLOOKUP(Table3[[#This Row],[PC Name]],Telengana_Results_2024[[PC Name]:[BJP STATUS]],16,FALSE)</f>
        <v>-338087</v>
      </c>
      <c r="F10" s="9">
        <f>VLOOKUP(Table3[[#This Row],[PC Name]],Telengana_Results_2024[[PC Name]:[BJP STATUS]],17,FALSE)</f>
        <v>-0.31379371793999994</v>
      </c>
      <c r="G10">
        <f>(Table3[[#This Row],[BJP Margin Votes 2024]]+Table3[[#This Row],[BJP Margin Votes 2019]])/2</f>
        <v>-310136.5</v>
      </c>
      <c r="H10" s="9">
        <f>(Table3[[#This Row],[BJP Margin Percentage 2024]]+Table3[[#This Row],[BJP Margin Percentage 2019]])/2</f>
        <v>-0.31761846758500001</v>
      </c>
      <c r="I10" t="str">
        <f t="shared" si="0"/>
        <v>Very Vulnerable Hold</v>
      </c>
    </row>
    <row r="11" spans="1:9" x14ac:dyDescent="0.35">
      <c r="A11">
        <v>10</v>
      </c>
      <c r="B11" t="s">
        <v>1126</v>
      </c>
      <c r="C11">
        <f>VLOOKUP(B11,Telengana_Reaults_2019[[#All],[PC Name]:[BJP_STATUS]],14,FALSE)</f>
        <v>-326188</v>
      </c>
      <c r="D11" s="9">
        <f>VLOOKUP(B11,Telengana_Reaults_2019[[#All],[PC Name]:[BJP_STATUS]],15,FALSE)</f>
        <v>-0.25087640766999997</v>
      </c>
      <c r="E11">
        <f>VLOOKUP(Table3[[#This Row],[PC Name]],Telengana_Results_2024[[PC Name]:[BJP STATUS]],16,FALSE)</f>
        <v>172897</v>
      </c>
      <c r="F11" s="9">
        <f>VLOOKUP(Table3[[#This Row],[PC Name]],Telengana_Results_2024[[PC Name]:[BJP STATUS]],17,FALSE)</f>
        <v>0.10359745250000002</v>
      </c>
      <c r="G11">
        <f>(Table3[[#This Row],[BJP Margin Votes 2024]]+Table3[[#This Row],[BJP Margin Votes 2019]])/2</f>
        <v>-76645.5</v>
      </c>
      <c r="H11" s="9">
        <f>(Table3[[#This Row],[BJP Margin Percentage 2024]]+Table3[[#This Row],[BJP Margin Percentage 2019]])/2</f>
        <v>-7.3639477584999974E-2</v>
      </c>
      <c r="I11" t="str">
        <f t="shared" si="0"/>
        <v>Very Vulnerable Hold</v>
      </c>
    </row>
    <row r="12" spans="1:9" x14ac:dyDescent="0.35">
      <c r="A12">
        <v>11</v>
      </c>
      <c r="B12" t="s">
        <v>626</v>
      </c>
      <c r="C12">
        <f>VLOOKUP(B12,Telengana_Reaults_2019[[#All],[PC Name]:[BJP_STATUS]],14,FALSE)</f>
        <v>-77829</v>
      </c>
      <c r="D12" s="9">
        <f>VLOOKUP(B12,Telengana_Reaults_2019[[#All],[PC Name]:[BJP_STATUS]],15,FALSE)</f>
        <v>-7.9043583710000032E-2</v>
      </c>
      <c r="E12">
        <f>VLOOKUP(Table3[[#This Row],[PC Name]],Telengana_Results_2024[[PC Name]:[BJP STATUS]],16,FALSE)</f>
        <v>4500</v>
      </c>
      <c r="F12" s="9">
        <f>VLOOKUP(Table3[[#This Row],[PC Name]],Telengana_Results_2024[[PC Name]:[BJP STATUS]],17,FALSE)</f>
        <v>3.6832472800000238E-3</v>
      </c>
      <c r="G12">
        <f>(Table3[[#This Row],[BJP Margin Votes 2024]]+Table3[[#This Row],[BJP Margin Votes 2019]])/2</f>
        <v>-36664.5</v>
      </c>
      <c r="H12" s="9">
        <f>(Table3[[#This Row],[BJP Margin Percentage 2024]]+Table3[[#This Row],[BJP Margin Percentage 2019]])/2</f>
        <v>-3.7680168215000004E-2</v>
      </c>
      <c r="I12" t="str">
        <f t="shared" si="0"/>
        <v>Weak Hold</v>
      </c>
    </row>
    <row r="13" spans="1:9" x14ac:dyDescent="0.35">
      <c r="A13">
        <v>12</v>
      </c>
      <c r="B13" t="s">
        <v>640</v>
      </c>
      <c r="C13">
        <f>VLOOKUP(B13,Telengana_Reaults_2019[[#All],[PC Name]:[BJP_STATUS]],14,FALSE)</f>
        <v>-370651</v>
      </c>
      <c r="D13" s="9">
        <f>VLOOKUP(B13,Telengana_Reaults_2019[[#All],[PC Name]:[BJP_STATUS]],15,FALSE)</f>
        <v>-0.37445281946999998</v>
      </c>
      <c r="E13">
        <f>VLOOKUP(Table3[[#This Row],[PC Name]],Telengana_Results_2024[[PC Name]:[BJP STATUS]],16,FALSE)</f>
        <v>-94414</v>
      </c>
      <c r="F13" s="9">
        <f>VLOOKUP(Table3[[#This Row],[PC Name]],Telengana_Results_2024[[PC Name]:[BJP STATUS]],17,FALSE)</f>
        <v>-7.7729835020000027E-2</v>
      </c>
      <c r="G13">
        <f>(Table3[[#This Row],[BJP Margin Votes 2024]]+Table3[[#This Row],[BJP Margin Votes 2019]])/2</f>
        <v>-232532.5</v>
      </c>
      <c r="H13" s="9">
        <f>(Table3[[#This Row],[BJP Margin Percentage 2024]]+Table3[[#This Row],[BJP Margin Percentage 2019]])/2</f>
        <v>-0.226091327245</v>
      </c>
      <c r="I13" t="str">
        <f t="shared" si="0"/>
        <v>Very Vulnerable Hold</v>
      </c>
    </row>
    <row r="14" spans="1:9" x14ac:dyDescent="0.35">
      <c r="A14">
        <v>13</v>
      </c>
      <c r="B14" t="s">
        <v>653</v>
      </c>
      <c r="C14">
        <f>VLOOKUP(B14,Telengana_Reaults_2019[[#All],[PC Name]:[BJP_STATUS]],14,FALSE)</f>
        <v>-473319</v>
      </c>
      <c r="D14" s="9">
        <f>VLOOKUP(B14,Telengana_Reaults_2019[[#All],[PC Name]:[BJP_STATUS]],15,FALSE)</f>
        <v>-0.402583815806</v>
      </c>
      <c r="E14">
        <f>VLOOKUP(Table3[[#This Row],[PC Name]],Telengana_Results_2024[[PC Name]:[BJP STATUS]],16,FALSE)</f>
        <v>-559905</v>
      </c>
      <c r="F14" s="9">
        <f>VLOOKUP(Table3[[#This Row],[PC Name]],Telengana_Results_2024[[PC Name]:[BJP STATUS]],17,FALSE)</f>
        <v>-0.43395482074000002</v>
      </c>
      <c r="G14">
        <f>(Table3[[#This Row],[BJP Margin Votes 2024]]+Table3[[#This Row],[BJP Margin Votes 2019]])/2</f>
        <v>-516612</v>
      </c>
      <c r="H14" s="9">
        <f>(Table3[[#This Row],[BJP Margin Percentage 2024]]+Table3[[#This Row],[BJP Margin Percentage 2019]])/2</f>
        <v>-0.41826931827300001</v>
      </c>
      <c r="I14" t="str">
        <f t="shared" si="0"/>
        <v>Very Vulnerable Hold</v>
      </c>
    </row>
    <row r="15" spans="1:9" x14ac:dyDescent="0.35">
      <c r="A15">
        <v>14</v>
      </c>
      <c r="B15" t="s">
        <v>1244</v>
      </c>
      <c r="C15">
        <f>VLOOKUP(B15,Telengana_Reaults_2019[[#All],[PC Name]:[BJP_STATUS]],14,FALSE)</f>
        <v>-467338</v>
      </c>
      <c r="D15" s="9">
        <f>VLOOKUP(B15,Telengana_Reaults_2019[[#All],[PC Name]:[BJP_STATUS]],15,FALSE)</f>
        <v>-0.38539176386399998</v>
      </c>
      <c r="E15">
        <f>VLOOKUP(Table3[[#This Row],[PC Name]],Telengana_Results_2024[[PC Name]:[BJP STATUS]],16,FALSE)</f>
        <v>-222170</v>
      </c>
      <c r="F15" s="9">
        <f>VLOOKUP(Table3[[#This Row],[PC Name]],Telengana_Results_2024[[PC Name]:[BJP STATUS]],17,FALSE)</f>
        <v>-0.15906210846000002</v>
      </c>
      <c r="G15">
        <f>(Table3[[#This Row],[BJP Margin Votes 2024]]+Table3[[#This Row],[BJP Margin Votes 2019]])/2</f>
        <v>-344754</v>
      </c>
      <c r="H15" s="9">
        <f>(Table3[[#This Row],[BJP Margin Percentage 2024]]+Table3[[#This Row],[BJP Margin Percentage 2019]])/2</f>
        <v>-0.272226936162</v>
      </c>
      <c r="I15" t="str">
        <f t="shared" si="0"/>
        <v>Very Vulnerable Hold</v>
      </c>
    </row>
    <row r="16" spans="1:9" x14ac:dyDescent="0.35">
      <c r="A16">
        <v>15</v>
      </c>
      <c r="B16" t="s">
        <v>701</v>
      </c>
      <c r="C16">
        <f>VLOOKUP(B16,Telengana_Reaults_2019[[#All],[PC Name]:[BJP_STATUS]],14,FALSE)</f>
        <v>-528721</v>
      </c>
      <c r="D16" s="9">
        <f>VLOOKUP(B16,Telengana_Reaults_2019[[#All],[PC Name]:[BJP_STATUS]],15,FALSE)</f>
        <v>-0.49802052474699998</v>
      </c>
      <c r="E16">
        <f>VLOOKUP(Table3[[#This Row],[PC Name]],Telengana_Results_2024[[PC Name]:[BJP STATUS]],16,FALSE)</f>
        <v>-220339</v>
      </c>
      <c r="F16" s="9">
        <f>VLOOKUP(Table3[[#This Row],[PC Name]],Telengana_Results_2024[[PC Name]:[BJP STATUS]],17,FALSE)</f>
        <v>-0.17493247674000001</v>
      </c>
      <c r="G16">
        <f>(Table3[[#This Row],[BJP Margin Votes 2024]]+Table3[[#This Row],[BJP Margin Votes 2019]])/2</f>
        <v>-374530</v>
      </c>
      <c r="H16" s="9">
        <f>(Table3[[#This Row],[BJP Margin Percentage 2024]]+Table3[[#This Row],[BJP Margin Percentage 2019]])/2</f>
        <v>-0.3364765007435</v>
      </c>
      <c r="I16" t="str">
        <f t="shared" si="0"/>
        <v>Very Vulnerable Hold</v>
      </c>
    </row>
    <row r="17" spans="1:9" x14ac:dyDescent="0.35">
      <c r="A17">
        <v>16</v>
      </c>
      <c r="B17" t="s">
        <v>1335</v>
      </c>
      <c r="C17">
        <f>VLOOKUP(B17,Telengana_Reaults_2019[[#All],[PC Name]:[BJP_STATUS]],14,FALSE)</f>
        <v>-436622</v>
      </c>
      <c r="D17" s="9">
        <f>VLOOKUP(B17,Telengana_Reaults_2019[[#All],[PC Name]:[BJP_STATUS]],15,FALSE)</f>
        <v>-0.44393132933700002</v>
      </c>
      <c r="E17">
        <f>VLOOKUP(Table3[[#This Row],[PC Name]],Telengana_Results_2024[[PC Name]:[BJP STATUS]],16,FALSE)</f>
        <v>-502330</v>
      </c>
      <c r="F17" s="9">
        <f>VLOOKUP(Table3[[#This Row],[PC Name]],Telengana_Results_2024[[PC Name]:[BJP STATUS]],17,FALSE)</f>
        <v>-0.45575419957000002</v>
      </c>
      <c r="G17">
        <f>(Table3[[#This Row],[BJP Margin Votes 2024]]+Table3[[#This Row],[BJP Margin Votes 2019]])/2</f>
        <v>-469476</v>
      </c>
      <c r="H17" s="9">
        <f>(Table3[[#This Row],[BJP Margin Percentage 2024]]+Table3[[#This Row],[BJP Margin Percentage 2019]])/2</f>
        <v>-0.44984276445350002</v>
      </c>
      <c r="I17" t="str">
        <f t="shared" si="0"/>
        <v>Very Vulnerable Hold</v>
      </c>
    </row>
    <row r="18" spans="1:9" x14ac:dyDescent="0.35">
      <c r="A18">
        <v>17</v>
      </c>
      <c r="B18" t="s">
        <v>1361</v>
      </c>
      <c r="C18">
        <f>VLOOKUP(B18,Telengana_Reaults_2019[[#All],[PC Name]:[BJP_STATUS]],14,FALSE)</f>
        <v>-546971</v>
      </c>
      <c r="D18" s="9">
        <f>VLOOKUP(B18,Telengana_Reaults_2019[[#All],[PC Name]:[BJP_STATUS]],15,FALSE)</f>
        <v>-0.47987026147099998</v>
      </c>
      <c r="E18">
        <f>VLOOKUP(Table3[[#This Row],[PC Name]],Telengana_Results_2024[[PC Name]:[BJP STATUS]],16,FALSE)</f>
        <v>-648293</v>
      </c>
      <c r="F18" s="9">
        <f>VLOOKUP(Table3[[#This Row],[PC Name]],Telengana_Results_2024[[PC Name]:[BJP STATUS]],17,FALSE)</f>
        <v>-0.52092605791500002</v>
      </c>
      <c r="G18">
        <f>(Table3[[#This Row],[BJP Margin Votes 2024]]+Table3[[#This Row],[BJP Margin Votes 2019]])/2</f>
        <v>-597632</v>
      </c>
      <c r="H18" s="9">
        <f>(Table3[[#This Row],[BJP Margin Percentage 2024]]+Table3[[#This Row],[BJP Margin Percentage 2019]])/2</f>
        <v>-0.50039815969300006</v>
      </c>
      <c r="I18" t="str">
        <f t="shared" si="0"/>
        <v>Very Vulnerable Hold</v>
      </c>
    </row>
  </sheetData>
  <conditionalFormatting sqref="I2:I18">
    <cfRule type="cellIs" dxfId="1" priority="1" operator="equal">
      <formula>"""Strong Hold"""</formula>
    </cfRule>
    <cfRule type="containsText" priority="2" operator="containsText" text="Strong Hold">
      <formula>NOT(ISERROR(SEARCH("Strong Hold",I2)))</formula>
    </cfRule>
    <cfRule type="colorScale" priority="3">
      <colorScale>
        <cfvo type="min"/>
        <cfvo type="percentile" val="50"/>
        <cfvo type="max"/>
        <color rgb="FFFF0000"/>
        <color rgb="FFFFEB84"/>
        <color rgb="FF00B05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8">
    <cfRule type="colorScale" priority="5">
      <colorScale>
        <cfvo type="min"/>
        <cfvo type="percentile" val="50"/>
        <cfvo type="max"/>
        <color rgb="FFFF7128"/>
        <color rgb="FFFFFF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D200-348E-47FA-8C1E-EB69364B9831}">
  <dimension ref="A1:J18"/>
  <sheetViews>
    <sheetView workbookViewId="0">
      <selection activeCell="F16" sqref="F16"/>
    </sheetView>
  </sheetViews>
  <sheetFormatPr defaultRowHeight="14.5" x14ac:dyDescent="0.35"/>
  <cols>
    <col min="1" max="1" width="7.36328125" customWidth="1"/>
    <col min="2" max="2" width="13.1796875" bestFit="1" customWidth="1"/>
    <col min="3" max="3" width="15.7265625" customWidth="1"/>
    <col min="4" max="4" width="19.54296875" style="9" customWidth="1"/>
    <col min="5" max="5" width="19.453125" customWidth="1"/>
    <col min="6" max="6" width="19.54296875" customWidth="1"/>
    <col min="7" max="7" width="20.1796875" customWidth="1"/>
    <col min="8" max="8" width="18.36328125" bestFit="1" customWidth="1"/>
    <col min="9" max="9" width="20" bestFit="1" customWidth="1"/>
    <col min="10" max="10" width="47.26953125" bestFit="1" customWidth="1"/>
  </cols>
  <sheetData>
    <row r="1" spans="1:10" x14ac:dyDescent="0.35">
      <c r="A1" t="s">
        <v>1396</v>
      </c>
      <c r="B1" t="s">
        <v>764</v>
      </c>
      <c r="C1" t="s">
        <v>1408</v>
      </c>
      <c r="D1" s="9" t="s">
        <v>1411</v>
      </c>
      <c r="E1" t="s">
        <v>1409</v>
      </c>
      <c r="F1" t="s">
        <v>1410</v>
      </c>
      <c r="G1" t="s">
        <v>1413</v>
      </c>
      <c r="H1" t="s">
        <v>1412</v>
      </c>
      <c r="I1" t="s">
        <v>1414</v>
      </c>
      <c r="J1" t="s">
        <v>1443</v>
      </c>
    </row>
    <row r="2" spans="1:10" x14ac:dyDescent="0.35">
      <c r="A2">
        <v>1</v>
      </c>
      <c r="B2" t="s">
        <v>781</v>
      </c>
      <c r="C2" s="9">
        <f>VLOOKUP(B2,Telengana_Reaults_2019[[#All],[PC Name]:[BJP_STATUS]],13,FALSE)</f>
        <v>0.35476483693999999</v>
      </c>
      <c r="D2" s="9">
        <f>VLOOKUP(B2,Telengana_Reaults_2019[[#All],[PC Name]:[BJP_STATUS]], 18,FALSE)</f>
        <v>0.71401338443999995</v>
      </c>
      <c r="E2" s="9">
        <f>VLOOKUP(B2,Telengana_Results_2024[[#All],[PC Name]:[BJP vote share]],15,FALSE)</f>
        <v>0.46425212549</v>
      </c>
      <c r="F2" s="9">
        <f>VLOOKUP(B2,Telengana_Results_2024[[#All],[PC Name]:[BJP STATUS]],19,FALSE)</f>
        <v>0.74940843407000002</v>
      </c>
      <c r="G2" s="10">
        <f>E2-C2</f>
        <v>0.10948728855000001</v>
      </c>
      <c r="H2" s="9">
        <f>F2-D2</f>
        <v>3.5395049630000064E-2</v>
      </c>
      <c r="I2" s="12">
        <f>G2/H2</f>
        <v>3.0932938276543904</v>
      </c>
      <c r="J2" t="str">
        <f>_xlfn.IFS(I2&gt;5,"High Conversion- Mobilize Voters", I2&gt;=3,"Moderate Conversion- Make the existing Base Stronger", TRUE,"Low Conversion- Can be ignored")</f>
        <v>Moderate Conversion- Make the existing Base Stronger</v>
      </c>
    </row>
    <row r="3" spans="1:10" x14ac:dyDescent="0.35">
      <c r="A3">
        <v>2</v>
      </c>
      <c r="B3" t="s">
        <v>805</v>
      </c>
      <c r="C3" s="9">
        <f>VLOOKUP(B3,Telengana_Reaults_2019[[#All],[PC Name]:[BJP_STATUS]],13,FALSE)</f>
        <v>9.5465083795000003E-2</v>
      </c>
      <c r="D3" s="9">
        <f>VLOOKUP(B3,Telengana_Reaults_2019[[#All],[PC Name]:[BJP_STATUS]], 18,FALSE)</f>
        <v>0.65584267635000004</v>
      </c>
      <c r="E3" s="9">
        <f>VLOOKUP(B3,Telengana_Results_2024[[#All],[PC Name]:[BJP vote share]],15,FALSE)</f>
        <v>0.31592148930000002</v>
      </c>
      <c r="F3" s="9">
        <f>VLOOKUP(B3,Telengana_Results_2024[[#All],[PC Name]:[BJP STATUS]],19,FALSE)</f>
        <v>0.68632423218000005</v>
      </c>
      <c r="G3" s="10">
        <f t="shared" ref="G3:G18" si="0">E3-C3</f>
        <v>0.22045640550500001</v>
      </c>
      <c r="H3" s="9">
        <f>F3-D3</f>
        <v>3.0481555830000007E-2</v>
      </c>
      <c r="I3" s="12">
        <f t="shared" ref="I3:I18" si="1">G3/H3</f>
        <v>7.2324525275060401</v>
      </c>
      <c r="J3" t="str">
        <f t="shared" ref="J3:J18" si="2">_xlfn.IFS(I3&gt;5,"High Conversion- Mobilize Voters", I3&gt;=3,"Moderate Conversion- Make the existing Base Stronger", TRUE,"Low Conversion- Can be ignored")</f>
        <v>High Conversion- Mobilize Voters</v>
      </c>
    </row>
    <row r="4" spans="1:10" x14ac:dyDescent="0.35">
      <c r="A4">
        <v>3</v>
      </c>
      <c r="B4" t="s">
        <v>869</v>
      </c>
      <c r="C4" s="9">
        <f>VLOOKUP(B4,Telengana_Reaults_2019[[#All],[PC Name]:[BJP_STATUS]],13,FALSE)</f>
        <v>0.43415291667</v>
      </c>
      <c r="D4" s="9">
        <f>VLOOKUP(B4,Telengana_Reaults_2019[[#All],[PC Name]:[BJP_STATUS]], 18,FALSE)</f>
        <v>0.69492408008999995</v>
      </c>
      <c r="E4" s="9">
        <f>VLOOKUP(B4,Telengana_Results_2024[[#All],[PC Name]:[BJP vote share]],15,FALSE)</f>
        <v>0.44753689344000003</v>
      </c>
      <c r="F4" s="9">
        <f>VLOOKUP(B4,Telengana_Results_2024[[#All],[PC Name]:[BJP STATUS]],19,FALSE)</f>
        <v>0.73106294850999998</v>
      </c>
      <c r="G4" s="10">
        <f t="shared" si="0"/>
        <v>1.3383976770000028E-2</v>
      </c>
      <c r="H4" s="9">
        <f>F4-D4</f>
        <v>3.6138868420000025E-2</v>
      </c>
      <c r="I4" s="12">
        <f t="shared" si="1"/>
        <v>0.37034852930240197</v>
      </c>
      <c r="J4" t="str">
        <f t="shared" si="2"/>
        <v>Low Conversion- Can be ignored</v>
      </c>
    </row>
    <row r="5" spans="1:10" x14ac:dyDescent="0.35">
      <c r="A5">
        <v>4</v>
      </c>
      <c r="B5" t="s">
        <v>140</v>
      </c>
      <c r="C5" s="9">
        <f>VLOOKUP(B5,Telengana_Reaults_2019[[#All],[PC Name]:[BJP_STATUS]],13,FALSE)</f>
        <v>0.45220029207000001</v>
      </c>
      <c r="D5" s="9">
        <f>VLOOKUP(B5,Telengana_Reaults_2019[[#All],[PC Name]:[BJP_STATUS]], 18,FALSE)</f>
        <v>0.68416265123999997</v>
      </c>
      <c r="E5" s="9">
        <f>VLOOKUP(B5,Telengana_Results_2024[[#All],[PC Name]:[BJP vote share]],15,FALSE)</f>
        <v>0.48191275228000002</v>
      </c>
      <c r="F5" s="9">
        <f>VLOOKUP(B5,Telengana_Results_2024[[#All],[PC Name]:[BJP STATUS]],19,FALSE)</f>
        <v>0.72349994810999996</v>
      </c>
      <c r="G5" s="10">
        <f t="shared" si="0"/>
        <v>2.9712460210000013E-2</v>
      </c>
      <c r="H5" s="9">
        <f>F5-D5</f>
        <v>3.9337296869999983E-2</v>
      </c>
      <c r="I5" s="12">
        <f t="shared" si="1"/>
        <v>0.75532541822058419</v>
      </c>
      <c r="J5" t="str">
        <f t="shared" si="2"/>
        <v>Low Conversion- Can be ignored</v>
      </c>
    </row>
    <row r="6" spans="1:10" x14ac:dyDescent="0.35">
      <c r="A6">
        <v>5</v>
      </c>
      <c r="B6" t="s">
        <v>503</v>
      </c>
      <c r="C6" s="9">
        <f>VLOOKUP(B6,Telengana_Reaults_2019[[#All],[PC Name]:[BJP_STATUS]],13,FALSE)</f>
        <v>0.13304448157000001</v>
      </c>
      <c r="D6" s="9">
        <f>VLOOKUP(B6,Telengana_Reaults_2019[[#All],[PC Name]:[BJP_STATUS]], 18,FALSE)</f>
        <v>0.69686307690000004</v>
      </c>
      <c r="E6" s="9">
        <f>VLOOKUP(B6,Telengana_Results_2024[[#All],[PC Name]:[BJP vote share]],15,FALSE)</f>
        <v>0.39090770547999998</v>
      </c>
      <c r="F6" s="9">
        <f>VLOOKUP(B6,Telengana_Results_2024[[#All],[PC Name]:[BJP STATUS]],19,FALSE)</f>
        <v>0.75295797372999995</v>
      </c>
      <c r="G6" s="10">
        <f t="shared" si="0"/>
        <v>0.25786322390999994</v>
      </c>
      <c r="H6" s="9">
        <f>F6-D6</f>
        <v>5.6094896829999907E-2</v>
      </c>
      <c r="I6" s="12">
        <f t="shared" si="1"/>
        <v>4.5969105655274696</v>
      </c>
      <c r="J6" t="str">
        <f t="shared" si="2"/>
        <v>Moderate Conversion- Make the existing Base Stronger</v>
      </c>
    </row>
    <row r="7" spans="1:10" x14ac:dyDescent="0.35">
      <c r="A7">
        <v>6</v>
      </c>
      <c r="B7" t="s">
        <v>518</v>
      </c>
      <c r="C7" s="9">
        <f>VLOOKUP(B7,Telengana_Reaults_2019[[#All],[PC Name]:[BJP_STATUS]],13,FALSE)</f>
        <v>0.17524167053</v>
      </c>
      <c r="D7" s="9">
        <f>VLOOKUP(B7,Telengana_Reaults_2019[[#All],[PC Name]:[BJP_STATUS]], 18,FALSE)</f>
        <v>0.71740166329999999</v>
      </c>
      <c r="E7" s="9">
        <f>VLOOKUP(B7,Telengana_Results_2024[[#All],[PC Name]:[BJP vote share]],15,FALSE)</f>
        <v>0.34106072428</v>
      </c>
      <c r="F7" s="9">
        <f>VLOOKUP(B7,Telengana_Results_2024[[#All],[PC Name]:[BJP STATUS]],19,FALSE)</f>
        <v>0.75857062629000005</v>
      </c>
      <c r="G7" s="10">
        <f t="shared" si="0"/>
        <v>0.16581905375</v>
      </c>
      <c r="H7" s="9">
        <f>F7-D7</f>
        <v>4.1168962990000058E-2</v>
      </c>
      <c r="I7" s="12">
        <f t="shared" si="1"/>
        <v>4.0277685350072447</v>
      </c>
      <c r="J7" t="str">
        <f t="shared" si="2"/>
        <v>Moderate Conversion- Make the existing Base Stronger</v>
      </c>
    </row>
    <row r="8" spans="1:10" x14ac:dyDescent="0.35">
      <c r="A8">
        <v>7</v>
      </c>
      <c r="B8" t="s">
        <v>531</v>
      </c>
      <c r="C8" s="9">
        <f>VLOOKUP(B8,Telengana_Reaults_2019[[#All],[PC Name]:[BJP_STATUS]],13,FALSE)</f>
        <v>0.19467033638</v>
      </c>
      <c r="D8" s="9">
        <f>VLOOKUP(B8,Telengana_Reaults_2019[[#All],[PC Name]:[BJP_STATUS]], 18,FALSE)</f>
        <v>0.49616117510000002</v>
      </c>
      <c r="E8" s="9">
        <f>VLOOKUP(B8,Telengana_Results_2024[[#All],[PC Name]:[BJP vote share]],15,FALSE)</f>
        <v>0.51603950477000005</v>
      </c>
      <c r="F8" s="9">
        <f>VLOOKUP(B8,Telengana_Results_2024[[#All],[PC Name]:[BJP STATUS]],19,FALSE)</f>
        <v>0.51275918520999997</v>
      </c>
      <c r="G8" s="10">
        <f t="shared" si="0"/>
        <v>0.32136916839000007</v>
      </c>
      <c r="H8" s="9">
        <f>F8-D8</f>
        <v>1.659801010999995E-2</v>
      </c>
      <c r="I8" s="12">
        <f t="shared" si="1"/>
        <v>19.361909425298034</v>
      </c>
      <c r="J8" t="str">
        <f t="shared" si="2"/>
        <v>High Conversion- Mobilize Voters</v>
      </c>
    </row>
    <row r="9" spans="1:10" x14ac:dyDescent="0.35">
      <c r="A9">
        <v>8</v>
      </c>
      <c r="B9" t="s">
        <v>546</v>
      </c>
      <c r="C9" s="9">
        <f>VLOOKUP(B9,Telengana_Reaults_2019[[#All],[PC Name]:[BJP_STATUS]],13,FALSE)</f>
        <v>0.42047587930000002</v>
      </c>
      <c r="D9" s="9">
        <f>VLOOKUP(B9,Telengana_Reaults_2019[[#All],[PC Name]:[BJP_STATUS]], 18,FALSE)</f>
        <v>0.46492768290999997</v>
      </c>
      <c r="E9" s="9">
        <f>VLOOKUP(B9,Telengana_Results_2024[[#All],[PC Name]:[BJP vote share]],15,FALSE)</f>
        <v>0.45373158381000001</v>
      </c>
      <c r="F9" s="9">
        <f>VLOOKUP(B9,Telengana_Results_2024[[#All],[PC Name]:[BJP STATUS]],19,FALSE)</f>
        <v>0.49449623918000002</v>
      </c>
      <c r="G9" s="10">
        <f t="shared" si="0"/>
        <v>3.3255704509999984E-2</v>
      </c>
      <c r="H9" s="9">
        <f>F9-D9</f>
        <v>2.9568556270000046E-2</v>
      </c>
      <c r="I9" s="12">
        <f t="shared" si="1"/>
        <v>1.1246982844319957</v>
      </c>
      <c r="J9" t="str">
        <f t="shared" si="2"/>
        <v>Low Conversion- Can be ignored</v>
      </c>
    </row>
    <row r="10" spans="1:10" x14ac:dyDescent="0.35">
      <c r="A10">
        <v>9</v>
      </c>
      <c r="B10" t="s">
        <v>580</v>
      </c>
      <c r="C10" s="9">
        <f>VLOOKUP(B10,Telengana_Reaults_2019[[#All],[PC Name]:[BJP_STATUS]],13,FALSE)</f>
        <v>0.26801743306999998</v>
      </c>
      <c r="D10" s="9">
        <f>VLOOKUP(B10,Telengana_Reaults_2019[[#All],[PC Name]:[BJP_STATUS]], 18,FALSE)</f>
        <v>0.44836717943999999</v>
      </c>
      <c r="E10" s="9">
        <f>VLOOKUP(B10,Telengana_Results_2024[[#All],[PC Name]:[BJP vote share]],15,FALSE)</f>
        <v>0.30062055767000001</v>
      </c>
      <c r="F10" s="9">
        <f>VLOOKUP(B10,Telengana_Results_2024[[#All],[PC Name]:[BJP STATUS]],19,FALSE)</f>
        <v>0.48792475549999997</v>
      </c>
      <c r="G10" s="10">
        <f t="shared" si="0"/>
        <v>3.2603124600000033E-2</v>
      </c>
      <c r="H10" s="9">
        <f>F10-D10</f>
        <v>3.9557576059999988E-2</v>
      </c>
      <c r="I10" s="12">
        <f t="shared" si="1"/>
        <v>0.82419419608897149</v>
      </c>
      <c r="J10" t="str">
        <f t="shared" si="2"/>
        <v>Low Conversion- Can be ignored</v>
      </c>
    </row>
    <row r="11" spans="1:10" x14ac:dyDescent="0.35">
      <c r="A11">
        <v>10</v>
      </c>
      <c r="B11" t="s">
        <v>1126</v>
      </c>
      <c r="C11" s="9">
        <f>VLOOKUP(B11,Telengana_Reaults_2019[[#All],[PC Name]:[BJP_STATUS]],13,FALSE)</f>
        <v>0.15533066604000001</v>
      </c>
      <c r="D11" s="9">
        <f>VLOOKUP(B11,Telengana_Reaults_2019[[#All],[PC Name]:[BJP_STATUS]], 18,FALSE)</f>
        <v>0.53218763609999997</v>
      </c>
      <c r="E11" s="9">
        <f>VLOOKUP(B11,Telengana_Results_2024[[#All],[PC Name]:[BJP vote share]],15,FALSE)</f>
        <v>0.48526991229999999</v>
      </c>
      <c r="F11" s="9">
        <f>VLOOKUP(B11,Telengana_Results_2024[[#All],[PC Name]:[BJP STATUS]],19,FALSE)</f>
        <v>0.57029312463000004</v>
      </c>
      <c r="G11" s="10">
        <f t="shared" si="0"/>
        <v>0.32993924625999999</v>
      </c>
      <c r="H11" s="9">
        <f>F11-D11</f>
        <v>3.8105488530000065E-2</v>
      </c>
      <c r="I11" s="12">
        <f t="shared" si="1"/>
        <v>8.658575417560705</v>
      </c>
      <c r="J11" t="str">
        <f t="shared" si="2"/>
        <v>High Conversion- Mobilize Voters</v>
      </c>
    </row>
    <row r="12" spans="1:10" x14ac:dyDescent="0.35">
      <c r="A12">
        <v>11</v>
      </c>
      <c r="B12" t="s">
        <v>626</v>
      </c>
      <c r="C12" s="9">
        <f>VLOOKUP(B12,Telengana_Reaults_2019[[#All],[PC Name]:[BJP_STATUS]],13,FALSE)</f>
        <v>0.33877867308999998</v>
      </c>
      <c r="D12" s="9">
        <f>VLOOKUP(B12,Telengana_Reaults_2019[[#All],[PC Name]:[BJP_STATUS]], 18,FALSE)</f>
        <v>0.65376315813999997</v>
      </c>
      <c r="E12" s="9">
        <f>VLOOKUP(B12,Telengana_Results_2024[[#All],[PC Name]:[BJP vote share]],15,FALSE)</f>
        <v>0.41804611098</v>
      </c>
      <c r="F12" s="9">
        <f>VLOOKUP(B12,Telengana_Results_2024[[#All],[PC Name]:[BJP STATUS]],19,FALSE)</f>
        <v>0.72908085660999999</v>
      </c>
      <c r="G12" s="10">
        <f t="shared" si="0"/>
        <v>7.9267437890000014E-2</v>
      </c>
      <c r="H12" s="9">
        <f>F12-D12</f>
        <v>7.5317698470000027E-2</v>
      </c>
      <c r="I12" s="12">
        <f t="shared" si="1"/>
        <v>1.0524410530358044</v>
      </c>
      <c r="J12" t="str">
        <f t="shared" si="2"/>
        <v>Low Conversion- Can be ignored</v>
      </c>
    </row>
    <row r="13" spans="1:10" x14ac:dyDescent="0.35">
      <c r="A13">
        <v>12</v>
      </c>
      <c r="B13" t="s">
        <v>640</v>
      </c>
      <c r="C13" s="9">
        <f>VLOOKUP(B13,Telengana_Reaults_2019[[#All],[PC Name]:[BJP_STATUS]],13,FALSE)</f>
        <v>0.13034438656</v>
      </c>
      <c r="D13" s="9">
        <f>VLOOKUP(B13,Telengana_Reaults_2019[[#All],[PC Name]:[BJP_STATUS]], 18,FALSE)</f>
        <v>0.62328577787999995</v>
      </c>
      <c r="E13" s="9">
        <f>VLOOKUP(B13,Telengana_Results_2024[[#All],[PC Name]:[BJP vote share]],15,FALSE)</f>
        <v>0.30515797645999998</v>
      </c>
      <c r="F13" s="9">
        <f>VLOOKUP(B13,Telengana_Results_2024[[#All],[PC Name]:[BJP STATUS]],19,FALSE)</f>
        <v>0.70239692752000005</v>
      </c>
      <c r="G13" s="10">
        <f t="shared" si="0"/>
        <v>0.17481358989999998</v>
      </c>
      <c r="H13" s="9">
        <f>F13-D13</f>
        <v>7.91111496400001E-2</v>
      </c>
      <c r="I13" s="12">
        <f t="shared" si="1"/>
        <v>2.2097212680576557</v>
      </c>
      <c r="J13" t="str">
        <f t="shared" si="2"/>
        <v>Low Conversion- Can be ignored</v>
      </c>
    </row>
    <row r="14" spans="1:10" x14ac:dyDescent="0.35">
      <c r="A14">
        <v>13</v>
      </c>
      <c r="B14" t="s">
        <v>653</v>
      </c>
      <c r="C14" s="9">
        <f>VLOOKUP(B14,Telengana_Reaults_2019[[#All],[PC Name]:[BJP_STATUS]],13,FALSE)</f>
        <v>4.4831900574000001E-2</v>
      </c>
      <c r="D14" s="9">
        <f>VLOOKUP(B14,Telengana_Reaults_2019[[#All],[PC Name]:[BJP_STATUS]], 18,FALSE)</f>
        <v>0.74131010479000004</v>
      </c>
      <c r="E14" s="9">
        <f>VLOOKUP(B14,Telengana_Results_2024[[#All],[PC Name]:[BJP vote share]],15,FALSE)</f>
        <v>0.17394620217000001</v>
      </c>
      <c r="F14" s="9">
        <f>VLOOKUP(B14,Telengana_Results_2024[[#All],[PC Name]:[BJP STATUS]],19,FALSE)</f>
        <v>0.75151314677000003</v>
      </c>
      <c r="G14" s="10">
        <f t="shared" si="0"/>
        <v>0.12911430159600001</v>
      </c>
      <c r="H14" s="9">
        <f>F14-D14</f>
        <v>1.0203041979999994E-2</v>
      </c>
      <c r="I14" s="12">
        <f t="shared" si="1"/>
        <v>12.654490871358748</v>
      </c>
      <c r="J14" t="str">
        <f t="shared" si="2"/>
        <v>High Conversion- Mobilize Voters</v>
      </c>
    </row>
    <row r="15" spans="1:10" x14ac:dyDescent="0.35">
      <c r="A15">
        <v>14</v>
      </c>
      <c r="B15" t="s">
        <v>1244</v>
      </c>
      <c r="C15" s="9">
        <f>VLOOKUP(B15,Telengana_Reaults_2019[[#All],[PC Name]:[BJP_STATUS]],13,FALSE)</f>
        <v>5.3979322646E-2</v>
      </c>
      <c r="D15" s="9">
        <f>VLOOKUP(B15,Telengana_Reaults_2019[[#All],[PC Name]:[BJP_STATUS]], 18,FALSE)</f>
        <v>0.74484423842000003</v>
      </c>
      <c r="E15" s="9">
        <f>VLOOKUP(B15,Telengana_Results_2024[[#All],[PC Name]:[BJP vote share]],15,FALSE)</f>
        <v>0.29137139788999999</v>
      </c>
      <c r="F15" s="9">
        <f>VLOOKUP(B15,Telengana_Results_2024[[#All],[PC Name]:[BJP STATUS]],19,FALSE)</f>
        <v>0.77475637574</v>
      </c>
      <c r="G15" s="10">
        <f t="shared" si="0"/>
        <v>0.23739207524399999</v>
      </c>
      <c r="H15" s="9">
        <f>F15-D15</f>
        <v>2.9912137319999976E-2</v>
      </c>
      <c r="I15" s="12">
        <f t="shared" si="1"/>
        <v>7.9363126982328316</v>
      </c>
      <c r="J15" t="str">
        <f t="shared" si="2"/>
        <v>High Conversion- Mobilize Voters</v>
      </c>
    </row>
    <row r="16" spans="1:10" x14ac:dyDescent="0.35">
      <c r="A16">
        <v>15</v>
      </c>
      <c r="B16" t="s">
        <v>701</v>
      </c>
      <c r="C16" s="9">
        <f>VLOOKUP(B16,Telengana_Reaults_2019[[#All],[PC Name]:[BJP_STATUS]],13,FALSE)</f>
        <v>7.8912442483E-2</v>
      </c>
      <c r="D16" s="9">
        <f>VLOOKUP(B16,Telengana_Reaults_2019[[#All],[PC Name]:[BJP_STATUS]], 18,FALSE)</f>
        <v>0.63694750924999999</v>
      </c>
      <c r="E16" s="9">
        <f>VLOOKUP(B16,Telengana_Results_2024[[#All],[PC Name]:[BJP vote share]],15,FALSE)</f>
        <v>0.28657092999</v>
      </c>
      <c r="F16" s="9">
        <f>VLOOKUP(B16,Telengana_Results_2024[[#All],[PC Name]:[BJP STATUS]],19,FALSE)</f>
        <v>0.69530022590999996</v>
      </c>
      <c r="G16" s="10">
        <f t="shared" si="0"/>
        <v>0.207658487507</v>
      </c>
      <c r="H16" s="9">
        <f>F16-D16</f>
        <v>5.835271665999997E-2</v>
      </c>
      <c r="I16" s="12">
        <f t="shared" si="1"/>
        <v>3.5586772886162334</v>
      </c>
      <c r="J16" t="str">
        <f t="shared" si="2"/>
        <v>Moderate Conversion- Make the existing Base Stronger</v>
      </c>
    </row>
    <row r="17" spans="1:10" x14ac:dyDescent="0.35">
      <c r="A17">
        <v>16</v>
      </c>
      <c r="B17" t="s">
        <v>1335</v>
      </c>
      <c r="C17" s="9">
        <f>VLOOKUP(B17,Telengana_Reaults_2019[[#All],[PC Name]:[BJP_STATUS]],13,FALSE)</f>
        <v>2.5913668553000001E-2</v>
      </c>
      <c r="D17" s="9">
        <f>VLOOKUP(B17,Telengana_Reaults_2019[[#All],[PC Name]:[BJP_STATUS]], 18,FALSE)</f>
        <v>0.69049800439999998</v>
      </c>
      <c r="E17" s="9">
        <f>VLOOKUP(B17,Telengana_Results_2024[[#All],[PC Name]:[BJP vote share]],15,FALSE)</f>
        <v>0.10020368447</v>
      </c>
      <c r="F17" s="9">
        <f>VLOOKUP(B17,Telengana_Results_2024[[#All],[PC Name]:[BJP STATUS]],19,FALSE)</f>
        <v>0.72336161495999995</v>
      </c>
      <c r="G17" s="10">
        <f t="shared" si="0"/>
        <v>7.4290015916999991E-2</v>
      </c>
      <c r="H17" s="9">
        <f>F17-D17</f>
        <v>3.2863610559999978E-2</v>
      </c>
      <c r="I17" s="12">
        <f t="shared" si="1"/>
        <v>2.2605555096074035</v>
      </c>
      <c r="J17" t="str">
        <f t="shared" si="2"/>
        <v>Low Conversion- Can be ignored</v>
      </c>
    </row>
    <row r="18" spans="1:10" x14ac:dyDescent="0.35">
      <c r="A18">
        <v>17</v>
      </c>
      <c r="B18" t="s">
        <v>1361</v>
      </c>
      <c r="C18" s="9">
        <f>VLOOKUP(B18,Telengana_Reaults_2019[[#All],[PC Name]:[BJP_STATUS]],13,FALSE)</f>
        <v>1.7974594478999999E-2</v>
      </c>
      <c r="D18" s="9">
        <f>VLOOKUP(B18,Telengana_Reaults_2019[[#All],[PC Name]:[BJP_STATUS]], 18,FALSE)</f>
        <v>0.75295562386000003</v>
      </c>
      <c r="E18" s="9">
        <f>VLOOKUP(B18,Telengana_Results_2024[[#All],[PC Name]:[BJP vote share]],15,FALSE)</f>
        <v>9.5328167675000006E-2</v>
      </c>
      <c r="F18" s="9">
        <f>VLOOKUP(B18,Telengana_Results_2024[[#All],[PC Name]:[BJP STATUS]],19,FALSE)</f>
        <v>0.76735467710000005</v>
      </c>
      <c r="G18" s="10">
        <f t="shared" si="0"/>
        <v>7.7353573196000003E-2</v>
      </c>
      <c r="H18" s="9">
        <f>F18-D18</f>
        <v>1.4399053240000015E-2</v>
      </c>
      <c r="I18" s="12">
        <f t="shared" si="1"/>
        <v>5.3721291189558737</v>
      </c>
      <c r="J18" t="str">
        <f t="shared" si="2"/>
        <v>High Conversion- Mobilize Voters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2ECE-3A76-4E40-BEFB-DDD893A0F055}">
  <dimension ref="A1:J18"/>
  <sheetViews>
    <sheetView tabSelected="1" topLeftCell="E1" workbookViewId="0">
      <selection activeCell="H2" sqref="H2"/>
    </sheetView>
  </sheetViews>
  <sheetFormatPr defaultRowHeight="14.5" x14ac:dyDescent="0.35"/>
  <cols>
    <col min="1" max="1" width="15.6328125" customWidth="1"/>
    <col min="2" max="2" width="13.1796875" bestFit="1" customWidth="1"/>
    <col min="3" max="3" width="12.54296875" customWidth="1"/>
    <col min="4" max="4" width="33.7265625" customWidth="1"/>
    <col min="5" max="5" width="23.90625" customWidth="1"/>
    <col min="6" max="6" width="15.81640625" customWidth="1"/>
    <col min="7" max="7" width="46.08984375" customWidth="1"/>
    <col min="8" max="8" width="15.36328125" customWidth="1"/>
    <col min="9" max="9" width="25.54296875" customWidth="1"/>
    <col min="10" max="10" width="18.26953125" customWidth="1"/>
  </cols>
  <sheetData>
    <row r="1" spans="1:10" x14ac:dyDescent="0.35">
      <c r="A1" t="s">
        <v>1396</v>
      </c>
      <c r="B1" t="s">
        <v>764</v>
      </c>
      <c r="C1" t="s">
        <v>1418</v>
      </c>
      <c r="D1" t="s">
        <v>1416</v>
      </c>
      <c r="E1" t="s">
        <v>1419</v>
      </c>
      <c r="F1" t="s">
        <v>1415</v>
      </c>
      <c r="G1" t="s">
        <v>1417</v>
      </c>
      <c r="H1" t="s">
        <v>1451</v>
      </c>
      <c r="I1" t="s">
        <v>1450</v>
      </c>
      <c r="J1" t="s">
        <v>1444</v>
      </c>
    </row>
    <row r="2" spans="1:10" x14ac:dyDescent="0.35">
      <c r="A2">
        <v>1</v>
      </c>
      <c r="B2" t="s">
        <v>781</v>
      </c>
      <c r="C2" t="str">
        <f>VLOOKUP(B2,Telengana_Reaults_2019[[#All],[PC Name]:[BJP_STATUS]],19,FALSE)</f>
        <v>BJP WON</v>
      </c>
      <c r="D2" t="s">
        <v>1434</v>
      </c>
      <c r="E2" s="9">
        <f>VLOOKUP('SeatAnalysis&amp;CandidateRating'!B2,Telengana_Reaults_2019[[#All],[PC Name]:[BJP_STATUS]],13,FALSE)</f>
        <v>0.35476483693999999</v>
      </c>
      <c r="F2" t="str">
        <f>VLOOKUP(B2,Telengana_Results_2024[[#All],[PC Name]:[BJP STATUS]],20,FALSE)</f>
        <v>BJP WON</v>
      </c>
      <c r="G2" t="s">
        <v>20</v>
      </c>
      <c r="H2" s="9">
        <f>VLOOKUP('SeatAnalysis&amp;CandidateRating'!B2,Telengana_Results_2024[[#All],[PC Name]:[BJP STATUS]],15,FALSE)</f>
        <v>0.46425212549</v>
      </c>
      <c r="I2" t="str">
        <f>_xlfn.IFS(AND(D2=G2,C2="BJP WON",F2="BJP WON"), "Strong Candidate Face", AND(D2&lt;&gt;G2,C2="BJP WON", F2="BJP WON"), "Strong Party Presence",  AND(D2&lt;&gt;G2,H2&gt;E2), "Pontential Candidate - Retain", TRUE, "Need Change")</f>
        <v>Strong Party Presence</v>
      </c>
      <c r="J2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Strong Seat</v>
      </c>
    </row>
    <row r="3" spans="1:10" x14ac:dyDescent="0.35">
      <c r="A3">
        <v>2</v>
      </c>
      <c r="B3" t="s">
        <v>805</v>
      </c>
      <c r="C3" t="str">
        <f>VLOOKUP(B3,Telengana_Reaults_2019[[#All],[PC Name]:[BJP_STATUS]],19,FALSE)</f>
        <v>BJP LOST</v>
      </c>
      <c r="D3" t="s">
        <v>69</v>
      </c>
      <c r="E3" s="9">
        <f>VLOOKUP('SeatAnalysis&amp;CandidateRating'!B3,Telengana_Reaults_2019[[#All],[PC Name]:[BJP_STATUS]],13,FALSE)</f>
        <v>9.5465083795000003E-2</v>
      </c>
      <c r="F3" t="str">
        <f>VLOOKUP(B3,Telengana_Results_2024[[#All],[PC Name]:[BJP STATUS]],20,FALSE)</f>
        <v>BJP LOST</v>
      </c>
      <c r="G3" t="s">
        <v>1420</v>
      </c>
      <c r="H3" s="9">
        <f>VLOOKUP('SeatAnalysis&amp;CandidateRating'!B3,Telengana_Results_2024[[#All],[PC Name]:[BJP STATUS]],15,FALSE)</f>
        <v>0.31592148930000002</v>
      </c>
      <c r="I3" t="str">
        <f t="shared" ref="I3:I18" si="0">_xlfn.IFS(AND(D3=G3,C3="BJP WON",F3="BJP WON"), "Strong Candidate Face", AND(D3&lt;&gt;G3,C3="BJP WON", F3="BJP WON"), "Strong Party Presence",  AND(D3&lt;&gt;G3,H3&gt;E3), "Pontential Candidate - Retain", TRUE, "Need Change")</f>
        <v>Pontential Candidate - Retain</v>
      </c>
      <c r="J3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4" spans="1:10" x14ac:dyDescent="0.35">
      <c r="A4">
        <v>3</v>
      </c>
      <c r="B4" t="s">
        <v>869</v>
      </c>
      <c r="C4" t="str">
        <f>VLOOKUP(B4,Telengana_Reaults_2019[[#All],[PC Name]:[BJP_STATUS]],19,FALSE)</f>
        <v>BJP WON</v>
      </c>
      <c r="D4" t="s">
        <v>1421</v>
      </c>
      <c r="E4" s="9">
        <f>VLOOKUP('SeatAnalysis&amp;CandidateRating'!B4,Telengana_Reaults_2019[[#All],[PC Name]:[BJP_STATUS]],13,FALSE)</f>
        <v>0.43415291667</v>
      </c>
      <c r="F4" t="str">
        <f>VLOOKUP(B4,Telengana_Results_2024[[#All],[PC Name]:[BJP STATUS]],20,FALSE)</f>
        <v>BJP WON</v>
      </c>
      <c r="G4" t="s">
        <v>1421</v>
      </c>
      <c r="H4" s="9">
        <f>VLOOKUP('SeatAnalysis&amp;CandidateRating'!B4,Telengana_Results_2024[[#All],[PC Name]:[BJP STATUS]],15,FALSE)</f>
        <v>0.44753689344000003</v>
      </c>
      <c r="I4" t="str">
        <f t="shared" si="0"/>
        <v>Strong Candidate Face</v>
      </c>
      <c r="J4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Strong Seat</v>
      </c>
    </row>
    <row r="5" spans="1:10" x14ac:dyDescent="0.35">
      <c r="A5">
        <v>4</v>
      </c>
      <c r="B5" t="s">
        <v>140</v>
      </c>
      <c r="C5" t="str">
        <f>VLOOKUP(B5,Telengana_Reaults_2019[[#All],[PC Name]:[BJP_STATUS]],19,FALSE)</f>
        <v>BJP WON</v>
      </c>
      <c r="D5" t="s">
        <v>1422</v>
      </c>
      <c r="E5" s="9">
        <f>VLOOKUP('SeatAnalysis&amp;CandidateRating'!B5,Telengana_Reaults_2019[[#All],[PC Name]:[BJP_STATUS]],13,FALSE)</f>
        <v>0.45220029207000001</v>
      </c>
      <c r="F5" t="str">
        <f>VLOOKUP(B5,Telengana_Results_2024[[#All],[PC Name]:[BJP STATUS]],20,FALSE)</f>
        <v>BJP WON</v>
      </c>
      <c r="G5" t="s">
        <v>1422</v>
      </c>
      <c r="H5" s="9">
        <f>VLOOKUP('SeatAnalysis&amp;CandidateRating'!B5,Telengana_Results_2024[[#All],[PC Name]:[BJP STATUS]],15,FALSE)</f>
        <v>0.48191275228000002</v>
      </c>
      <c r="I5" t="str">
        <f t="shared" si="0"/>
        <v>Strong Candidate Face</v>
      </c>
      <c r="J5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Strong Seat</v>
      </c>
    </row>
    <row r="6" spans="1:10" x14ac:dyDescent="0.35">
      <c r="A6">
        <v>5</v>
      </c>
      <c r="B6" t="s">
        <v>503</v>
      </c>
      <c r="C6" t="str">
        <f>VLOOKUP(B6,Telengana_Reaults_2019[[#All],[PC Name]:[BJP_STATUS]],19,FALSE)</f>
        <v>BJP LOST</v>
      </c>
      <c r="D6" t="s">
        <v>1435</v>
      </c>
      <c r="E6" s="9">
        <f>VLOOKUP('SeatAnalysis&amp;CandidateRating'!B6,Telengana_Reaults_2019[[#All],[PC Name]:[BJP_STATUS]],13,FALSE)</f>
        <v>0.13304448157000001</v>
      </c>
      <c r="F6" t="str">
        <f>VLOOKUP(B6,Telengana_Results_2024[[#All],[PC Name]:[BJP STATUS]],20,FALSE)</f>
        <v>BJP LOST</v>
      </c>
      <c r="G6" t="s">
        <v>1423</v>
      </c>
      <c r="H6" s="9">
        <f>VLOOKUP('SeatAnalysis&amp;CandidateRating'!B6,Telengana_Results_2024[[#All],[PC Name]:[BJP STATUS]],15,FALSE)</f>
        <v>0.39090770547999998</v>
      </c>
      <c r="I6" t="str">
        <f t="shared" si="0"/>
        <v>Pontential Candidate - Retain</v>
      </c>
      <c r="J6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7" spans="1:10" x14ac:dyDescent="0.35">
      <c r="A7">
        <v>6</v>
      </c>
      <c r="B7" t="s">
        <v>518</v>
      </c>
      <c r="C7" t="str">
        <f>VLOOKUP(B7,Telengana_Reaults_2019[[#All],[PC Name]:[BJP_STATUS]],19,FALSE)</f>
        <v>BJP LOST</v>
      </c>
      <c r="D7" t="s">
        <v>521</v>
      </c>
      <c r="E7" s="9">
        <f>VLOOKUP('SeatAnalysis&amp;CandidateRating'!B7,Telengana_Reaults_2019[[#All],[PC Name]:[BJP_STATUS]],13,FALSE)</f>
        <v>0.17524167053</v>
      </c>
      <c r="F7" t="str">
        <f>VLOOKUP(B7,Telengana_Results_2024[[#All],[PC Name]:[BJP STATUS]],20,FALSE)</f>
        <v>BJP WON</v>
      </c>
      <c r="G7" t="s">
        <v>1424</v>
      </c>
      <c r="H7" s="9">
        <f>VLOOKUP('SeatAnalysis&amp;CandidateRating'!B7,Telengana_Results_2024[[#All],[PC Name]:[BJP STATUS]],15,FALSE)</f>
        <v>0.34106072428</v>
      </c>
      <c r="I7" t="str">
        <f t="shared" si="0"/>
        <v>Pontential Candidate - Retain</v>
      </c>
      <c r="J7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Swing Seat</v>
      </c>
    </row>
    <row r="8" spans="1:10" x14ac:dyDescent="0.35">
      <c r="A8">
        <v>7</v>
      </c>
      <c r="B8" t="s">
        <v>531</v>
      </c>
      <c r="C8" t="str">
        <f>VLOOKUP(B8,Telengana_Reaults_2019[[#All],[PC Name]:[BJP_STATUS]],19,FALSE)</f>
        <v>BJP LOST</v>
      </c>
      <c r="D8" t="s">
        <v>1436</v>
      </c>
      <c r="E8" s="9">
        <f>VLOOKUP('SeatAnalysis&amp;CandidateRating'!B8,Telengana_Reaults_2019[[#All],[PC Name]:[BJP_STATUS]],13,FALSE)</f>
        <v>0.19467033638</v>
      </c>
      <c r="F8" t="str">
        <f>VLOOKUP(B8,Telengana_Results_2024[[#All],[PC Name]:[BJP STATUS]],20,FALSE)</f>
        <v>BJP WON</v>
      </c>
      <c r="G8" t="s">
        <v>1425</v>
      </c>
      <c r="H8" s="9">
        <f>VLOOKUP('SeatAnalysis&amp;CandidateRating'!B8,Telengana_Results_2024[[#All],[PC Name]:[BJP STATUS]],15,FALSE)</f>
        <v>0.51603950477000005</v>
      </c>
      <c r="I8" t="str">
        <f t="shared" si="0"/>
        <v>Pontential Candidate - Retain</v>
      </c>
      <c r="J8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Swing Seat</v>
      </c>
    </row>
    <row r="9" spans="1:10" x14ac:dyDescent="0.35">
      <c r="A9">
        <v>8</v>
      </c>
      <c r="B9" t="s">
        <v>546</v>
      </c>
      <c r="C9" t="str">
        <f>VLOOKUP(B9,Telengana_Reaults_2019[[#All],[PC Name]:[BJP_STATUS]],19,FALSE)</f>
        <v>BJP WON</v>
      </c>
      <c r="D9" t="s">
        <v>1426</v>
      </c>
      <c r="E9" s="9">
        <f>VLOOKUP('SeatAnalysis&amp;CandidateRating'!B9,Telengana_Reaults_2019[[#All],[PC Name]:[BJP_STATUS]],13,FALSE)</f>
        <v>0.42047587930000002</v>
      </c>
      <c r="F9" t="str">
        <f>VLOOKUP(B9,Telengana_Results_2024[[#All],[PC Name]:[BJP STATUS]],20,FALSE)</f>
        <v>BJP WON</v>
      </c>
      <c r="G9" t="s">
        <v>1426</v>
      </c>
      <c r="H9" s="9">
        <f>VLOOKUP('SeatAnalysis&amp;CandidateRating'!B9,Telengana_Results_2024[[#All],[PC Name]:[BJP STATUS]],15,FALSE)</f>
        <v>0.45373158381000001</v>
      </c>
      <c r="I9" t="str">
        <f t="shared" si="0"/>
        <v>Strong Candidate Face</v>
      </c>
      <c r="J9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Strong Seat</v>
      </c>
    </row>
    <row r="10" spans="1:10" x14ac:dyDescent="0.35">
      <c r="A10">
        <v>9</v>
      </c>
      <c r="B10" t="s">
        <v>580</v>
      </c>
      <c r="C10" t="str">
        <f>VLOOKUP(B10,Telengana_Reaults_2019[[#All],[PC Name]:[BJP_STATUS]],19,FALSE)</f>
        <v>BJP LOST</v>
      </c>
      <c r="D10" t="s">
        <v>1437</v>
      </c>
      <c r="E10" s="9">
        <f>VLOOKUP('SeatAnalysis&amp;CandidateRating'!B10,Telengana_Reaults_2019[[#All],[PC Name]:[BJP_STATUS]],13,FALSE)</f>
        <v>0.26801743306999998</v>
      </c>
      <c r="F10" t="str">
        <f>VLOOKUP(B10,Telengana_Results_2024[[#All],[PC Name]:[BJP STATUS]],20,FALSE)</f>
        <v>BJP LOST</v>
      </c>
      <c r="G10" t="s">
        <v>1427</v>
      </c>
      <c r="H10" s="9">
        <f>VLOOKUP('SeatAnalysis&amp;CandidateRating'!B10,Telengana_Results_2024[[#All],[PC Name]:[BJP STATUS]],15,FALSE)</f>
        <v>0.30062055767000001</v>
      </c>
      <c r="I10" t="str">
        <f t="shared" si="0"/>
        <v>Pontential Candidate - Retain</v>
      </c>
      <c r="J10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1" spans="1:10" x14ac:dyDescent="0.35">
      <c r="A11">
        <v>10</v>
      </c>
      <c r="B11" t="s">
        <v>1126</v>
      </c>
      <c r="C11" t="str">
        <f>VLOOKUP(B11,Telengana_Reaults_2019[[#All],[PC Name]:[BJP_STATUS]],19,FALSE)</f>
        <v>BJP LOST</v>
      </c>
      <c r="D11" t="s">
        <v>599</v>
      </c>
      <c r="E11" s="9">
        <f>VLOOKUP('SeatAnalysis&amp;CandidateRating'!B11,Telengana_Reaults_2019[[#All],[PC Name]:[BJP_STATUS]],13,FALSE)</f>
        <v>0.15533066604000001</v>
      </c>
      <c r="F11" t="str">
        <f>VLOOKUP(B11,Telengana_Results_2024[[#All],[PC Name]:[BJP STATUS]],20,FALSE)</f>
        <v>BJP WON</v>
      </c>
      <c r="G11" t="s">
        <v>597</v>
      </c>
      <c r="H11" s="9">
        <f>VLOOKUP('SeatAnalysis&amp;CandidateRating'!B11,Telengana_Results_2024[[#All],[PC Name]:[BJP STATUS]],15,FALSE)</f>
        <v>0.48526991229999999</v>
      </c>
      <c r="I11" t="str">
        <f t="shared" si="0"/>
        <v>Pontential Candidate - Retain</v>
      </c>
      <c r="J11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Swing Seat</v>
      </c>
    </row>
    <row r="12" spans="1:10" x14ac:dyDescent="0.35">
      <c r="A12">
        <v>11</v>
      </c>
      <c r="B12" t="s">
        <v>626</v>
      </c>
      <c r="C12" t="str">
        <f>VLOOKUP(B12,Telengana_Reaults_2019[[#All],[PC Name]:[BJP_STATUS]],19,FALSE)</f>
        <v>BJP LOST</v>
      </c>
      <c r="D12" t="s">
        <v>1438</v>
      </c>
      <c r="E12" s="9">
        <f>VLOOKUP('SeatAnalysis&amp;CandidateRating'!B12,Telengana_Reaults_2019[[#All],[PC Name]:[BJP_STATUS]],13,FALSE)</f>
        <v>0.33877867308999998</v>
      </c>
      <c r="F12" t="str">
        <f>VLOOKUP(B12,Telengana_Results_2024[[#All],[PC Name]:[BJP STATUS]],20,FALSE)</f>
        <v>BJP WON</v>
      </c>
      <c r="G12" t="s">
        <v>1428</v>
      </c>
      <c r="H12" s="9">
        <f>VLOOKUP('SeatAnalysis&amp;CandidateRating'!B12,Telengana_Results_2024[[#All],[PC Name]:[BJP STATUS]],15,FALSE)</f>
        <v>0.41804611098</v>
      </c>
      <c r="I12" t="str">
        <f t="shared" si="0"/>
        <v>Pontential Candidate - Retain</v>
      </c>
      <c r="J12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Swing Seat</v>
      </c>
    </row>
    <row r="13" spans="1:10" x14ac:dyDescent="0.35">
      <c r="A13">
        <v>12</v>
      </c>
      <c r="B13" t="s">
        <v>640</v>
      </c>
      <c r="C13" t="str">
        <f>VLOOKUP(B13,Telengana_Reaults_2019[[#All],[PC Name]:[BJP_STATUS]],19,FALSE)</f>
        <v>BJP LOST</v>
      </c>
      <c r="D13" t="s">
        <v>1439</v>
      </c>
      <c r="E13" s="9">
        <f>VLOOKUP('SeatAnalysis&amp;CandidateRating'!B13,Telengana_Reaults_2019[[#All],[PC Name]:[BJP_STATUS]],13,FALSE)</f>
        <v>0.13034438656</v>
      </c>
      <c r="F13" t="str">
        <f>VLOOKUP(B13,Telengana_Results_2024[[#All],[PC Name]:[BJP STATUS]],20,FALSE)</f>
        <v>BJP LOST</v>
      </c>
      <c r="G13" t="s">
        <v>1429</v>
      </c>
      <c r="H13" s="9">
        <f>VLOOKUP('SeatAnalysis&amp;CandidateRating'!B13,Telengana_Results_2024[[#All],[PC Name]:[BJP STATUS]],15,FALSE)</f>
        <v>0.30515797645999998</v>
      </c>
      <c r="I13" t="str">
        <f t="shared" si="0"/>
        <v>Pontential Candidate - Retain</v>
      </c>
      <c r="J13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4" spans="1:10" x14ac:dyDescent="0.35">
      <c r="A14">
        <v>13</v>
      </c>
      <c r="B14" t="s">
        <v>653</v>
      </c>
      <c r="C14" t="str">
        <f>VLOOKUP(B14,Telengana_Reaults_2019[[#All],[PC Name]:[BJP_STATUS]],19,FALSE)</f>
        <v>BJP LOST</v>
      </c>
      <c r="D14" t="s">
        <v>1440</v>
      </c>
      <c r="E14" s="9">
        <f>VLOOKUP('SeatAnalysis&amp;CandidateRating'!B14,Telengana_Reaults_2019[[#All],[PC Name]:[BJP_STATUS]],13,FALSE)</f>
        <v>4.4831900574000001E-2</v>
      </c>
      <c r="F14" t="str">
        <f>VLOOKUP(B14,Telengana_Results_2024[[#All],[PC Name]:[BJP STATUS]],20,FALSE)</f>
        <v>BJP LOST</v>
      </c>
      <c r="G14" t="s">
        <v>1430</v>
      </c>
      <c r="H14" s="9">
        <f>VLOOKUP('SeatAnalysis&amp;CandidateRating'!B14,Telengana_Results_2024[[#All],[PC Name]:[BJP STATUS]],15,FALSE)</f>
        <v>0.17394620217000001</v>
      </c>
      <c r="I14" t="str">
        <f t="shared" si="0"/>
        <v>Pontential Candidate - Retain</v>
      </c>
      <c r="J14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5" spans="1:10" x14ac:dyDescent="0.35">
      <c r="A15">
        <v>14</v>
      </c>
      <c r="B15" t="s">
        <v>1244</v>
      </c>
      <c r="C15" t="str">
        <f>VLOOKUP(B15,Telengana_Reaults_2019[[#All],[PC Name]:[BJP_STATUS]],19,FALSE)</f>
        <v>BJP LOST</v>
      </c>
      <c r="D15" t="s">
        <v>690</v>
      </c>
      <c r="E15" s="9">
        <f>VLOOKUP('SeatAnalysis&amp;CandidateRating'!B15,Telengana_Reaults_2019[[#All],[PC Name]:[BJP_STATUS]],13,FALSE)</f>
        <v>5.3979322646E-2</v>
      </c>
      <c r="F15" t="str">
        <f>VLOOKUP(B15,Telengana_Results_2024[[#All],[PC Name]:[BJP STATUS]],20,FALSE)</f>
        <v>BJP LOST</v>
      </c>
      <c r="G15" t="s">
        <v>689</v>
      </c>
      <c r="H15" s="9">
        <f>VLOOKUP('SeatAnalysis&amp;CandidateRating'!B15,Telengana_Results_2024[[#All],[PC Name]:[BJP STATUS]],15,FALSE)</f>
        <v>0.29137139788999999</v>
      </c>
      <c r="I15" t="str">
        <f t="shared" si="0"/>
        <v>Pontential Candidate - Retain</v>
      </c>
      <c r="J15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6" spans="1:10" x14ac:dyDescent="0.35">
      <c r="A16">
        <v>15</v>
      </c>
      <c r="B16" t="s">
        <v>701</v>
      </c>
      <c r="C16" t="str">
        <f>VLOOKUP(B16,Telengana_Reaults_2019[[#All],[PC Name]:[BJP_STATUS]],19,FALSE)</f>
        <v>BJP LOST</v>
      </c>
      <c r="D16" t="s">
        <v>1441</v>
      </c>
      <c r="E16" s="9">
        <f>VLOOKUP('SeatAnalysis&amp;CandidateRating'!B16,Telengana_Reaults_2019[[#All],[PC Name]:[BJP_STATUS]],13,FALSE)</f>
        <v>7.8912442483E-2</v>
      </c>
      <c r="F16" t="str">
        <f>VLOOKUP(B16,Telengana_Results_2024[[#All],[PC Name]:[BJP STATUS]],20,FALSE)</f>
        <v>BJP LOST</v>
      </c>
      <c r="G16" t="s">
        <v>1431</v>
      </c>
      <c r="H16" s="9">
        <f>VLOOKUP('SeatAnalysis&amp;CandidateRating'!B16,Telengana_Results_2024[[#All],[PC Name]:[BJP STATUS]],15,FALSE)</f>
        <v>0.28657092999</v>
      </c>
      <c r="I16" t="str">
        <f t="shared" si="0"/>
        <v>Pontential Candidate - Retain</v>
      </c>
      <c r="J16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7" spans="1:10" x14ac:dyDescent="0.35">
      <c r="A17">
        <v>16</v>
      </c>
      <c r="B17" t="s">
        <v>1335</v>
      </c>
      <c r="C17" t="str">
        <f>VLOOKUP(B17,Telengana_Reaults_2019[[#All],[PC Name]:[BJP_STATUS]],19,FALSE)</f>
        <v>BJP LOST</v>
      </c>
      <c r="D17" t="s">
        <v>722</v>
      </c>
      <c r="E17" s="9">
        <f>VLOOKUP('SeatAnalysis&amp;CandidateRating'!B17,Telengana_Reaults_2019[[#All],[PC Name]:[BJP_STATUS]],13,FALSE)</f>
        <v>2.5913668553000001E-2</v>
      </c>
      <c r="F17" t="str">
        <f>VLOOKUP(B17,Telengana_Results_2024[[#All],[PC Name]:[BJP STATUS]],20,FALSE)</f>
        <v>BJP LOST</v>
      </c>
      <c r="G17" t="s">
        <v>1432</v>
      </c>
      <c r="H17" s="9">
        <f>VLOOKUP('SeatAnalysis&amp;CandidateRating'!B17,Telengana_Results_2024[[#All],[PC Name]:[BJP STATUS]],15,FALSE)</f>
        <v>0.10020368447</v>
      </c>
      <c r="I17" t="str">
        <f t="shared" si="0"/>
        <v>Pontential Candidate - Retain</v>
      </c>
      <c r="J17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  <row r="18" spans="1:10" x14ac:dyDescent="0.35">
      <c r="A18">
        <v>17</v>
      </c>
      <c r="B18" t="s">
        <v>1361</v>
      </c>
      <c r="C18" t="str">
        <f>VLOOKUP(B18,Telengana_Reaults_2019[[#All],[PC Name]:[BJP_STATUS]],19,FALSE)</f>
        <v>BJP LOST</v>
      </c>
      <c r="D18" t="s">
        <v>1442</v>
      </c>
      <c r="E18" s="9">
        <f>VLOOKUP('SeatAnalysis&amp;CandidateRating'!B18,Telengana_Reaults_2019[[#All],[PC Name]:[BJP_STATUS]],13,FALSE)</f>
        <v>1.7974594478999999E-2</v>
      </c>
      <c r="F18" t="str">
        <f>VLOOKUP(B18,Telengana_Results_2024[[#All],[PC Name]:[BJP STATUS]],20,FALSE)</f>
        <v>BJP LOST</v>
      </c>
      <c r="G18" t="s">
        <v>1433</v>
      </c>
      <c r="H18" s="9">
        <f>VLOOKUP('SeatAnalysis&amp;CandidateRating'!B18,Telengana_Results_2024[[#All],[PC Name]:[BJP STATUS]],15,FALSE)</f>
        <v>9.5328167675000006E-2</v>
      </c>
      <c r="I18" t="str">
        <f t="shared" si="0"/>
        <v>Pontential Candidate - Retain</v>
      </c>
      <c r="J18" t="str">
        <f>_xlfn.IFS(AND(Table5[[#This Row],[Status 2019]]="BJP WON",Table5[[#This Row],[BJP Status 2024]]="BJP WON"), "Strong Seat", AND(Table5[[#This Row],[Status 2019]]&lt;&gt;"BJP WON", Table5[[#This Row],[BJP Status 2024]]&lt;&gt;"BJP WON" ),"Weak Seat", TRUE, "Swing Seat")</f>
        <v>Weak Seat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D922-BE68-44FD-A412-CE1017D97F0C}">
  <dimension ref="A1:G18"/>
  <sheetViews>
    <sheetView workbookViewId="0">
      <selection activeCell="G2" sqref="G2"/>
    </sheetView>
  </sheetViews>
  <sheetFormatPr defaultRowHeight="14.5" x14ac:dyDescent="0.35"/>
  <cols>
    <col min="2" max="2" width="19.6328125" customWidth="1"/>
    <col min="3" max="3" width="20.453125" customWidth="1"/>
    <col min="4" max="4" width="26.54296875" customWidth="1"/>
    <col min="5" max="5" width="15" customWidth="1"/>
    <col min="6" max="6" width="46.81640625" customWidth="1"/>
    <col min="7" max="7" width="27.453125" customWidth="1"/>
  </cols>
  <sheetData>
    <row r="1" spans="1:7" ht="9.5" customHeight="1" x14ac:dyDescent="0.35">
      <c r="A1" s="2" t="s">
        <v>1396</v>
      </c>
      <c r="B1" s="3" t="s">
        <v>764</v>
      </c>
      <c r="C1" t="s">
        <v>1445</v>
      </c>
      <c r="D1" t="s">
        <v>1446</v>
      </c>
      <c r="E1" t="s">
        <v>1447</v>
      </c>
      <c r="F1" t="s">
        <v>1448</v>
      </c>
      <c r="G1" t="s">
        <v>1449</v>
      </c>
    </row>
    <row r="2" spans="1:7" x14ac:dyDescent="0.35">
      <c r="A2" s="6">
        <v>1</v>
      </c>
      <c r="B2" s="4" t="s">
        <v>781</v>
      </c>
      <c r="C2" t="str">
        <f>VLOOKUP(Decision!B2,Table3[[PC Name]:[Seat Grade ]],8,FALSE)</f>
        <v>Average Hold</v>
      </c>
      <c r="D2" t="str">
        <f>VLOOKUP(B2,Table5[],8,FALSE)</f>
        <v>Strong Party Presence</v>
      </c>
      <c r="E2" t="str">
        <f>VLOOKUP(B2,Table5[],9,FALSE)</f>
        <v>Strong Seat</v>
      </c>
      <c r="F2" t="str">
        <f>VLOOKUP(B2,Table4[[PC Name]:[Conversion Rate]],9,FALSE)</f>
        <v>Moderate Conversion- Make the existing Base Stronger</v>
      </c>
      <c r="G2" t="str">
        <f t="shared" ref="G2:G18" si="0">_xlfn.IFS( OR(D2="Strong Candidate Face", D2="Strong Party Presence"), "Invest &amp; Maintain", AND(E2="Strong Seat", OR(C2="Strong Hold", C2="Good Hold")), "Protect &amp; Maintain", OR( AND(E2="Swing Seat", OR(F2="High Conversion- Mobilize Voters", F2="Moderate Conversion- Make the existing Base Stronger")), AND(E2="Strong Seat", C2="Average Hold") ), "Invest to Flip", AND(E2="Weak Seat", F2="High Conversion- Mobilize Voters"), "Mobilize Aggressively", TRUE, "Deprioritize" )</f>
        <v>Invest &amp; Maintain</v>
      </c>
    </row>
    <row r="3" spans="1:7" x14ac:dyDescent="0.35">
      <c r="A3" s="7">
        <v>2</v>
      </c>
      <c r="B3" s="5" t="s">
        <v>805</v>
      </c>
      <c r="C3" t="str">
        <f>VLOOKUP(Decision!B3,Table3[[PC Name]:[Seat Grade ]],8,FALSE)</f>
        <v>Very Vulnerable Hold</v>
      </c>
      <c r="D3" t="str">
        <f>VLOOKUP(B3,Table5[],8,FALSE)</f>
        <v>Pontential Candidate - Retain</v>
      </c>
      <c r="E3" t="str">
        <f>VLOOKUP(B3,Table5[],9,FALSE)</f>
        <v>Weak Seat</v>
      </c>
      <c r="F3" t="str">
        <f>VLOOKUP(B3,Table4[[PC Name]:[Conversion Rate]],9,FALSE)</f>
        <v>High Conversion- Mobilize Voters</v>
      </c>
      <c r="G3" t="str">
        <f t="shared" si="0"/>
        <v>Mobilize Aggressively</v>
      </c>
    </row>
    <row r="4" spans="1:7" x14ac:dyDescent="0.35">
      <c r="A4" s="6">
        <v>3</v>
      </c>
      <c r="B4" s="4" t="s">
        <v>869</v>
      </c>
      <c r="C4" t="str">
        <f>VLOOKUP(Decision!B4,Table3[[PC Name]:[Seat Grade ]],8,FALSE)</f>
        <v>Strong Hold</v>
      </c>
      <c r="D4" t="str">
        <f>VLOOKUP(B4,Table5[],8,FALSE)</f>
        <v>Strong Candidate Face</v>
      </c>
      <c r="E4" t="str">
        <f>VLOOKUP(B4,Table5[],9,FALSE)</f>
        <v>Strong Seat</v>
      </c>
      <c r="F4" t="str">
        <f>VLOOKUP(B4,Table4[[PC Name]:[Conversion Rate]],9,FALSE)</f>
        <v>Low Conversion- Can be ignored</v>
      </c>
      <c r="G4" t="str">
        <f t="shared" si="0"/>
        <v>Invest &amp; Maintain</v>
      </c>
    </row>
    <row r="5" spans="1:7" x14ac:dyDescent="0.35">
      <c r="A5" s="7">
        <v>4</v>
      </c>
      <c r="B5" s="5" t="s">
        <v>140</v>
      </c>
      <c r="C5" t="str">
        <f>VLOOKUP(Decision!B5,Table3[[PC Name]:[Seat Grade ]],8,FALSE)</f>
        <v>Average Hold</v>
      </c>
      <c r="D5" t="str">
        <f>VLOOKUP(B5,Table5[],8,FALSE)</f>
        <v>Strong Candidate Face</v>
      </c>
      <c r="E5" t="str">
        <f>VLOOKUP(B5,Table5[],9,FALSE)</f>
        <v>Strong Seat</v>
      </c>
      <c r="F5" t="str">
        <f>VLOOKUP(B5,Table4[[PC Name]:[Conversion Rate]],9,FALSE)</f>
        <v>Low Conversion- Can be ignored</v>
      </c>
      <c r="G5" t="str">
        <f t="shared" si="0"/>
        <v>Invest &amp; Maintain</v>
      </c>
    </row>
    <row r="6" spans="1:7" x14ac:dyDescent="0.35">
      <c r="A6" s="6">
        <v>5</v>
      </c>
      <c r="B6" s="4" t="s">
        <v>503</v>
      </c>
      <c r="C6" t="str">
        <f>VLOOKUP(Decision!B6,Table3[[PC Name]:[Seat Grade ]],8,FALSE)</f>
        <v>Very Vulnerable Hold</v>
      </c>
      <c r="D6" t="str">
        <f>VLOOKUP(B6,Table5[],8,FALSE)</f>
        <v>Pontential Candidate - Retain</v>
      </c>
      <c r="E6" t="str">
        <f>VLOOKUP(B6,Table5[],9,FALSE)</f>
        <v>Weak Seat</v>
      </c>
      <c r="F6" t="str">
        <f>VLOOKUP(B6,Table4[[PC Name]:[Conversion Rate]],9,FALSE)</f>
        <v>Moderate Conversion- Make the existing Base Stronger</v>
      </c>
      <c r="G6" t="str">
        <f t="shared" si="0"/>
        <v>Deprioritize</v>
      </c>
    </row>
    <row r="7" spans="1:7" x14ac:dyDescent="0.35">
      <c r="A7" s="7">
        <v>6</v>
      </c>
      <c r="B7" s="5" t="s">
        <v>518</v>
      </c>
      <c r="C7" t="str">
        <f>VLOOKUP(Decision!B7,Table3[[PC Name]:[Seat Grade ]],8,FALSE)</f>
        <v>Very Vulnerable Hold</v>
      </c>
      <c r="D7" t="str">
        <f>VLOOKUP(B7,Table5[],8,FALSE)</f>
        <v>Pontential Candidate - Retain</v>
      </c>
      <c r="E7" t="str">
        <f>VLOOKUP(B7,Table5[],9,FALSE)</f>
        <v>Swing Seat</v>
      </c>
      <c r="F7" t="str">
        <f>VLOOKUP(B7,Table4[[PC Name]:[Conversion Rate]],9,FALSE)</f>
        <v>Moderate Conversion- Make the existing Base Stronger</v>
      </c>
      <c r="G7" t="str">
        <f t="shared" si="0"/>
        <v>Invest to Flip</v>
      </c>
    </row>
    <row r="8" spans="1:7" x14ac:dyDescent="0.35">
      <c r="A8" s="6">
        <v>7</v>
      </c>
      <c r="B8" s="4" t="s">
        <v>531</v>
      </c>
      <c r="C8" t="str">
        <f>VLOOKUP(Decision!B8,Table3[[PC Name]:[Seat Grade ]],8,FALSE)</f>
        <v>Weak Hold</v>
      </c>
      <c r="D8" t="str">
        <f>VLOOKUP(B8,Table5[],8,FALSE)</f>
        <v>Pontential Candidate - Retain</v>
      </c>
      <c r="E8" t="str">
        <f>VLOOKUP(B8,Table5[],9,FALSE)</f>
        <v>Swing Seat</v>
      </c>
      <c r="F8" t="str">
        <f>VLOOKUP(B8,Table4[[PC Name]:[Conversion Rate]],9,FALSE)</f>
        <v>High Conversion- Mobilize Voters</v>
      </c>
      <c r="G8" t="str">
        <f t="shared" si="0"/>
        <v>Invest to Flip</v>
      </c>
    </row>
    <row r="9" spans="1:7" x14ac:dyDescent="0.35">
      <c r="A9" s="7">
        <v>8</v>
      </c>
      <c r="B9" s="5" t="s">
        <v>546</v>
      </c>
      <c r="C9" t="str">
        <f>VLOOKUP(Decision!B9,Table3[[PC Name]:[Seat Grade ]],8,FALSE)</f>
        <v>Average Hold</v>
      </c>
      <c r="D9" t="str">
        <f>VLOOKUP(B9,Table5[],8,FALSE)</f>
        <v>Strong Candidate Face</v>
      </c>
      <c r="E9" t="str">
        <f>VLOOKUP(B9,Table5[],9,FALSE)</f>
        <v>Strong Seat</v>
      </c>
      <c r="F9" t="str">
        <f>VLOOKUP(B9,Table4[[PC Name]:[Conversion Rate]],9,FALSE)</f>
        <v>Low Conversion- Can be ignored</v>
      </c>
      <c r="G9" t="str">
        <f t="shared" si="0"/>
        <v>Invest &amp; Maintain</v>
      </c>
    </row>
    <row r="10" spans="1:7" x14ac:dyDescent="0.35">
      <c r="A10" s="6">
        <v>9</v>
      </c>
      <c r="B10" s="4" t="s">
        <v>580</v>
      </c>
      <c r="C10" t="str">
        <f>VLOOKUP(Decision!B10,Table3[[PC Name]:[Seat Grade ]],8,FALSE)</f>
        <v>Very Vulnerable Hold</v>
      </c>
      <c r="D10" t="str">
        <f>VLOOKUP(B10,Table5[],8,FALSE)</f>
        <v>Pontential Candidate - Retain</v>
      </c>
      <c r="E10" t="str">
        <f>VLOOKUP(B10,Table5[],9,FALSE)</f>
        <v>Weak Seat</v>
      </c>
      <c r="F10" t="str">
        <f>VLOOKUP(B10,Table4[[PC Name]:[Conversion Rate]],9,FALSE)</f>
        <v>Low Conversion- Can be ignored</v>
      </c>
      <c r="G10" t="str">
        <f t="shared" si="0"/>
        <v>Deprioritize</v>
      </c>
    </row>
    <row r="11" spans="1:7" x14ac:dyDescent="0.35">
      <c r="A11" s="7">
        <v>10</v>
      </c>
      <c r="B11" s="5" t="s">
        <v>1126</v>
      </c>
      <c r="C11" t="str">
        <f>VLOOKUP(Decision!B11,Table3[[PC Name]:[Seat Grade ]],8,FALSE)</f>
        <v>Very Vulnerable Hold</v>
      </c>
      <c r="D11" t="str">
        <f>VLOOKUP(B11,Table5[],8,FALSE)</f>
        <v>Pontential Candidate - Retain</v>
      </c>
      <c r="E11" t="str">
        <f>VLOOKUP(B11,Table5[],9,FALSE)</f>
        <v>Swing Seat</v>
      </c>
      <c r="F11" t="str">
        <f>VLOOKUP(B11,Table4[[PC Name]:[Conversion Rate]],9,FALSE)</f>
        <v>High Conversion- Mobilize Voters</v>
      </c>
      <c r="G11" t="str">
        <f t="shared" si="0"/>
        <v>Invest to Flip</v>
      </c>
    </row>
    <row r="12" spans="1:7" x14ac:dyDescent="0.35">
      <c r="A12" s="6">
        <v>11</v>
      </c>
      <c r="B12" s="4" t="s">
        <v>626</v>
      </c>
      <c r="C12" t="str">
        <f>VLOOKUP(Decision!B12,Table3[[PC Name]:[Seat Grade ]],8,FALSE)</f>
        <v>Weak Hold</v>
      </c>
      <c r="D12" t="str">
        <f>VLOOKUP(B12,Table5[],8,FALSE)</f>
        <v>Pontential Candidate - Retain</v>
      </c>
      <c r="E12" t="str">
        <f>VLOOKUP(B12,Table5[],9,FALSE)</f>
        <v>Swing Seat</v>
      </c>
      <c r="F12" t="str">
        <f>VLOOKUP(B12,Table4[[PC Name]:[Conversion Rate]],9,FALSE)</f>
        <v>Low Conversion- Can be ignored</v>
      </c>
      <c r="G12" t="str">
        <f t="shared" si="0"/>
        <v>Deprioritize</v>
      </c>
    </row>
    <row r="13" spans="1:7" x14ac:dyDescent="0.35">
      <c r="A13" s="7">
        <v>12</v>
      </c>
      <c r="B13" s="5" t="s">
        <v>640</v>
      </c>
      <c r="C13" t="str">
        <f>VLOOKUP(Decision!B13,Table3[[PC Name]:[Seat Grade ]],8,FALSE)</f>
        <v>Very Vulnerable Hold</v>
      </c>
      <c r="D13" t="str">
        <f>VLOOKUP(B13,Table5[],8,FALSE)</f>
        <v>Pontential Candidate - Retain</v>
      </c>
      <c r="E13" t="str">
        <f>VLOOKUP(B13,Table5[],9,FALSE)</f>
        <v>Weak Seat</v>
      </c>
      <c r="F13" t="str">
        <f>VLOOKUP(B13,Table4[[PC Name]:[Conversion Rate]],9,FALSE)</f>
        <v>Low Conversion- Can be ignored</v>
      </c>
      <c r="G13" t="str">
        <f t="shared" si="0"/>
        <v>Deprioritize</v>
      </c>
    </row>
    <row r="14" spans="1:7" x14ac:dyDescent="0.35">
      <c r="A14" s="6">
        <v>13</v>
      </c>
      <c r="B14" s="4" t="s">
        <v>653</v>
      </c>
      <c r="C14" t="str">
        <f>VLOOKUP(Decision!B14,Table3[[PC Name]:[Seat Grade ]],8,FALSE)</f>
        <v>Very Vulnerable Hold</v>
      </c>
      <c r="D14" t="str">
        <f>VLOOKUP(B14,Table5[],8,FALSE)</f>
        <v>Pontential Candidate - Retain</v>
      </c>
      <c r="E14" t="str">
        <f>VLOOKUP(B14,Table5[],9,FALSE)</f>
        <v>Weak Seat</v>
      </c>
      <c r="F14" t="str">
        <f>VLOOKUP(B14,Table4[[PC Name]:[Conversion Rate]],9,FALSE)</f>
        <v>High Conversion- Mobilize Voters</v>
      </c>
      <c r="G14" t="str">
        <f t="shared" si="0"/>
        <v>Mobilize Aggressively</v>
      </c>
    </row>
    <row r="15" spans="1:7" x14ac:dyDescent="0.35">
      <c r="A15" s="7">
        <v>14</v>
      </c>
      <c r="B15" s="5" t="s">
        <v>1244</v>
      </c>
      <c r="C15" t="str">
        <f>VLOOKUP(Decision!B15,Table3[[PC Name]:[Seat Grade ]],8,FALSE)</f>
        <v>Very Vulnerable Hold</v>
      </c>
      <c r="D15" t="str">
        <f>VLOOKUP(B15,Table5[],8,FALSE)</f>
        <v>Pontential Candidate - Retain</v>
      </c>
      <c r="E15" t="str">
        <f>VLOOKUP(B15,Table5[],9,FALSE)</f>
        <v>Weak Seat</v>
      </c>
      <c r="F15" t="str">
        <f>VLOOKUP(B15,Table4[[PC Name]:[Conversion Rate]],9,FALSE)</f>
        <v>High Conversion- Mobilize Voters</v>
      </c>
      <c r="G15" t="str">
        <f t="shared" si="0"/>
        <v>Mobilize Aggressively</v>
      </c>
    </row>
    <row r="16" spans="1:7" x14ac:dyDescent="0.35">
      <c r="A16" s="6">
        <v>15</v>
      </c>
      <c r="B16" s="4" t="s">
        <v>701</v>
      </c>
      <c r="C16" t="str">
        <f>VLOOKUP(Decision!B16,Table3[[PC Name]:[Seat Grade ]],8,FALSE)</f>
        <v>Very Vulnerable Hold</v>
      </c>
      <c r="D16" t="str">
        <f>VLOOKUP(B16,Table5[],8,FALSE)</f>
        <v>Pontential Candidate - Retain</v>
      </c>
      <c r="E16" t="str">
        <f>VLOOKUP(B16,Table5[],9,FALSE)</f>
        <v>Weak Seat</v>
      </c>
      <c r="F16" t="str">
        <f>VLOOKUP(B16,Table4[[PC Name]:[Conversion Rate]],9,FALSE)</f>
        <v>Moderate Conversion- Make the existing Base Stronger</v>
      </c>
      <c r="G16" t="str">
        <f t="shared" si="0"/>
        <v>Deprioritize</v>
      </c>
    </row>
    <row r="17" spans="1:7" x14ac:dyDescent="0.35">
      <c r="A17" s="7">
        <v>16</v>
      </c>
      <c r="B17" s="5" t="s">
        <v>1335</v>
      </c>
      <c r="C17" t="str">
        <f>VLOOKUP(Decision!B17,Table3[[PC Name]:[Seat Grade ]],8,FALSE)</f>
        <v>Very Vulnerable Hold</v>
      </c>
      <c r="D17" t="str">
        <f>VLOOKUP(B17,Table5[],8,FALSE)</f>
        <v>Pontential Candidate - Retain</v>
      </c>
      <c r="E17" t="str">
        <f>VLOOKUP(B17,Table5[],9,FALSE)</f>
        <v>Weak Seat</v>
      </c>
      <c r="F17" t="str">
        <f>VLOOKUP(B17,Table4[[PC Name]:[Conversion Rate]],9,FALSE)</f>
        <v>Low Conversion- Can be ignored</v>
      </c>
      <c r="G17" t="str">
        <f t="shared" si="0"/>
        <v>Deprioritize</v>
      </c>
    </row>
    <row r="18" spans="1:7" x14ac:dyDescent="0.35">
      <c r="A18" s="6">
        <v>17</v>
      </c>
      <c r="B18" s="4" t="s">
        <v>1361</v>
      </c>
      <c r="C18" t="str">
        <f>VLOOKUP(Decision!B18,Table3[[PC Name]:[Seat Grade ]],8,FALSE)</f>
        <v>Very Vulnerable Hold</v>
      </c>
      <c r="D18" t="str">
        <f>VLOOKUP(B18,Table5[],8,FALSE)</f>
        <v>Pontential Candidate - Retain</v>
      </c>
      <c r="E18" t="str">
        <f>VLOOKUP(B18,Table5[],9,FALSE)</f>
        <v>Weak Seat</v>
      </c>
      <c r="F18" t="str">
        <f>VLOOKUP(B18,Table4[[PC Name]:[Conversion Rate]],9,FALSE)</f>
        <v>High Conversion- Mobilize Voters</v>
      </c>
      <c r="G18" t="str">
        <f t="shared" si="0"/>
        <v>Mobilize Aggressively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1215F1-8B4F-48AE-A243-152906B6B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Telangana Results 2024</vt:lpstr>
      <vt:lpstr>Telangana Results 2019</vt:lpstr>
      <vt:lpstr>BJP Seat Grading</vt:lpstr>
      <vt:lpstr>Voter TurnOut Analysis </vt:lpstr>
      <vt:lpstr>SeatAnalysis&amp;CandidateRating</vt:lpstr>
      <vt:lpstr>Decision</vt:lpstr>
      <vt:lpstr>'Telangana Results 2024'!Criteria</vt:lpstr>
      <vt:lpstr>'Telangana Results 2024'!Extract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2026-09-26T07:41:30Z</dcterms:created>
  <dcterms:modified xsi:type="dcterms:W3CDTF">2026-09-26T12:24:59Z</dcterms:modified>
</cp:coreProperties>
</file>